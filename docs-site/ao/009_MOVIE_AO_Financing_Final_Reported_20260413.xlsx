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dimitry/Desktop/"/>
    </mc:Choice>
  </mc:AlternateContent>
  <xr:revisionPtr revIDLastSave="0" documentId="8_{014E68CC-5C76-C84A-A79F-C5F3AC4B0083}" xr6:coauthVersionLast="47" xr6:coauthVersionMax="47" xr10:uidLastSave="{00000000-0000-0000-0000-000000000000}"/>
  <bookViews>
    <workbookView xWindow="1420" yWindow="1180" windowWidth="36780" windowHeight="19300" activeTab="4" xr2:uid="{00000000-000D-0000-FFFF-FFFF00000000}"/>
  </bookViews>
  <sheets>
    <sheet name="Aelios " sheetId="1" r:id="rId1"/>
    <sheet name="BC Rev TL CF" sheetId="2" r:id="rId2"/>
    <sheet name="Equity calculation " sheetId="3" r:id="rId3"/>
    <sheet name="progress of works" sheetId="4" r:id="rId4"/>
    <sheet name="Aelios McKinsey" sheetId="5" r:id="rId5"/>
  </sheets>
  <externalReferences>
    <externalReference r:id="rId6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7" i="5" l="1"/>
  <c r="P66" i="5"/>
  <c r="G85" i="5"/>
  <c r="G84" i="5"/>
  <c r="Q88" i="5"/>
  <c r="Q87" i="5"/>
  <c r="Q86" i="5"/>
  <c r="Q85" i="5"/>
  <c r="Q83" i="5"/>
  <c r="Q82" i="5"/>
  <c r="Q81" i="5"/>
  <c r="Q80" i="5"/>
  <c r="Q89" i="5" s="1"/>
  <c r="P88" i="5"/>
  <c r="R88" i="5" s="1"/>
  <c r="P87" i="5"/>
  <c r="R87" i="5" s="1"/>
  <c r="P86" i="5"/>
  <c r="R86" i="5" s="1"/>
  <c r="P85" i="5"/>
  <c r="R85" i="5" s="1"/>
  <c r="P83" i="5"/>
  <c r="R83" i="5" s="1"/>
  <c r="P82" i="5"/>
  <c r="R82" i="5" s="1"/>
  <c r="P81" i="5"/>
  <c r="R81" i="5" s="1"/>
  <c r="P80" i="5"/>
  <c r="Q75" i="5"/>
  <c r="Q74" i="5"/>
  <c r="Q73" i="5"/>
  <c r="Q76" i="5" s="1"/>
  <c r="Q91" i="5" s="1"/>
  <c r="P75" i="5"/>
  <c r="R75" i="5" s="1"/>
  <c r="P74" i="5"/>
  <c r="R74" i="5" s="1"/>
  <c r="P73" i="5"/>
  <c r="R60" i="5"/>
  <c r="H68" i="5" s="1"/>
  <c r="K61" i="5"/>
  <c r="J61" i="5"/>
  <c r="I61" i="5"/>
  <c r="H60" i="5"/>
  <c r="H59" i="5"/>
  <c r="H61" i="5" s="1"/>
  <c r="O51" i="5"/>
  <c r="F51" i="5"/>
  <c r="H51" i="5" s="1"/>
  <c r="I51" i="5" s="1"/>
  <c r="J51" i="5" s="1"/>
  <c r="K51" i="5" s="1"/>
  <c r="L51" i="5" s="1"/>
  <c r="N51" i="5" s="1"/>
  <c r="O41" i="5"/>
  <c r="O43" i="5" s="1"/>
  <c r="O44" i="5" s="1"/>
  <c r="N41" i="5"/>
  <c r="N43" i="5" s="1"/>
  <c r="L41" i="5"/>
  <c r="L43" i="5" s="1"/>
  <c r="K41" i="5"/>
  <c r="K43" i="5" s="1"/>
  <c r="J41" i="5"/>
  <c r="J43" i="5" s="1"/>
  <c r="I41" i="5"/>
  <c r="I43" i="5" s="1"/>
  <c r="H41" i="5"/>
  <c r="H43" i="5" s="1"/>
  <c r="F41" i="5"/>
  <c r="F43" i="5" s="1"/>
  <c r="F44" i="5" s="1"/>
  <c r="H44" i="5" s="1"/>
  <c r="I44" i="5" s="1"/>
  <c r="J44" i="5" s="1"/>
  <c r="K44" i="5" s="1"/>
  <c r="L44" i="5" s="1"/>
  <c r="N44" i="5" s="1"/>
  <c r="I79" i="5"/>
  <c r="I75" i="5"/>
  <c r="H75" i="5"/>
  <c r="T34" i="5"/>
  <c r="S33" i="5"/>
  <c r="Q33" i="5"/>
  <c r="P59" i="5" s="1"/>
  <c r="T32" i="5"/>
  <c r="U31" i="5"/>
  <c r="T31" i="5"/>
  <c r="T26" i="5"/>
  <c r="R26" i="5"/>
  <c r="T25" i="5"/>
  <c r="R25" i="5"/>
  <c r="T24" i="5"/>
  <c r="R24" i="5"/>
  <c r="T23" i="5"/>
  <c r="R23" i="5"/>
  <c r="T22" i="5"/>
  <c r="R22" i="5"/>
  <c r="R21" i="5"/>
  <c r="R20" i="5"/>
  <c r="R19" i="5"/>
  <c r="S18" i="5"/>
  <c r="Q18" i="5"/>
  <c r="T17" i="5"/>
  <c r="R17" i="5"/>
  <c r="R14" i="5"/>
  <c r="R13" i="5"/>
  <c r="R12" i="5"/>
  <c r="T12" i="5" s="1"/>
  <c r="H79" i="1"/>
  <c r="H75" i="1"/>
  <c r="G75" i="1"/>
  <c r="S34" i="1"/>
  <c r="R33" i="1"/>
  <c r="P33" i="1"/>
  <c r="G74" i="1" s="1"/>
  <c r="S32" i="1"/>
  <c r="T31" i="1"/>
  <c r="I79" i="1" s="1"/>
  <c r="S31" i="1"/>
  <c r="S26" i="1"/>
  <c r="Q26" i="1"/>
  <c r="S25" i="1"/>
  <c r="Q25" i="1"/>
  <c r="S24" i="1"/>
  <c r="Q24" i="1"/>
  <c r="S23" i="1"/>
  <c r="Q23" i="1"/>
  <c r="S22" i="1"/>
  <c r="Q22" i="1"/>
  <c r="Q21" i="1"/>
  <c r="Q20" i="1"/>
  <c r="Q19" i="1"/>
  <c r="R18" i="1"/>
  <c r="P18" i="1"/>
  <c r="S17" i="1"/>
  <c r="Q17" i="1"/>
  <c r="Q14" i="1"/>
  <c r="Q13" i="1"/>
  <c r="Q12" i="1"/>
  <c r="K26" i="4"/>
  <c r="J22" i="4"/>
  <c r="I22" i="4"/>
  <c r="D20" i="4"/>
  <c r="D19" i="4"/>
  <c r="F18" i="4"/>
  <c r="F22" i="4" s="1"/>
  <c r="D18" i="4"/>
  <c r="C18" i="4"/>
  <c r="D17" i="4"/>
  <c r="C17" i="4"/>
  <c r="E16" i="4"/>
  <c r="D16" i="4"/>
  <c r="C16" i="4"/>
  <c r="B16" i="4"/>
  <c r="E15" i="4"/>
  <c r="D15" i="4"/>
  <c r="C15" i="4"/>
  <c r="B15" i="4"/>
  <c r="E14" i="4"/>
  <c r="D14" i="4"/>
  <c r="C14" i="4"/>
  <c r="B14" i="4"/>
  <c r="G13" i="4"/>
  <c r="E13" i="4"/>
  <c r="D13" i="4"/>
  <c r="C13" i="4"/>
  <c r="B13" i="4"/>
  <c r="I12" i="4"/>
  <c r="G12" i="4"/>
  <c r="E12" i="4"/>
  <c r="D12" i="4"/>
  <c r="C12" i="4"/>
  <c r="B12" i="4"/>
  <c r="I11" i="4"/>
  <c r="H11" i="4"/>
  <c r="G11" i="4"/>
  <c r="E11" i="4"/>
  <c r="D11" i="4"/>
  <c r="C11" i="4"/>
  <c r="B11" i="4"/>
  <c r="I10" i="4"/>
  <c r="B10" i="4" s="1"/>
  <c r="H10" i="4"/>
  <c r="H22" i="4" s="1"/>
  <c r="G10" i="4"/>
  <c r="E10" i="4"/>
  <c r="D10" i="4"/>
  <c r="C10" i="4"/>
  <c r="I9" i="4"/>
  <c r="E9" i="4"/>
  <c r="D9" i="4"/>
  <c r="C9" i="4"/>
  <c r="B9" i="4"/>
  <c r="I8" i="4"/>
  <c r="E8" i="4"/>
  <c r="D8" i="4"/>
  <c r="C8" i="4"/>
  <c r="B8" i="4"/>
  <c r="I6" i="4"/>
  <c r="E6" i="4" s="1"/>
  <c r="AC36" i="3"/>
  <c r="AB36" i="3"/>
  <c r="AA36" i="3"/>
  <c r="G36" i="3"/>
  <c r="F36" i="3"/>
  <c r="E36" i="3"/>
  <c r="D36" i="3"/>
  <c r="C36" i="3"/>
  <c r="B36" i="3"/>
  <c r="AD35" i="3"/>
  <c r="AD34" i="3"/>
  <c r="Z34" i="3"/>
  <c r="Z36" i="3" s="1"/>
  <c r="Y34" i="3"/>
  <c r="Y36" i="3" s="1"/>
  <c r="X34" i="3"/>
  <c r="X36" i="3" s="1"/>
  <c r="W34" i="3"/>
  <c r="V34" i="3"/>
  <c r="V36" i="3" s="1"/>
  <c r="U34" i="3"/>
  <c r="T34" i="3"/>
  <c r="S34" i="3"/>
  <c r="R34" i="3"/>
  <c r="Q34" i="3"/>
  <c r="P34" i="3"/>
  <c r="O34" i="3"/>
  <c r="N34" i="3"/>
  <c r="M34" i="3"/>
  <c r="L34" i="3"/>
  <c r="J34" i="3"/>
  <c r="J36" i="3" s="1"/>
  <c r="I34" i="3"/>
  <c r="I36" i="3" s="1"/>
  <c r="H34" i="3"/>
  <c r="H36" i="3" s="1"/>
  <c r="AD33" i="3"/>
  <c r="U33" i="3"/>
  <c r="U36" i="3" s="1"/>
  <c r="S33" i="3"/>
  <c r="S36" i="3" s="1"/>
  <c r="R33" i="3"/>
  <c r="R36" i="3" s="1"/>
  <c r="Q33" i="3"/>
  <c r="Q36" i="3" s="1"/>
  <c r="P33" i="3"/>
  <c r="P36" i="3" s="1"/>
  <c r="O33" i="3"/>
  <c r="O36" i="3" s="1"/>
  <c r="N33" i="3"/>
  <c r="N36" i="3" s="1"/>
  <c r="K33" i="3"/>
  <c r="K36" i="3" s="1"/>
  <c r="AD32" i="3"/>
  <c r="W32" i="3"/>
  <c r="W36" i="3" s="1"/>
  <c r="AD31" i="3"/>
  <c r="AD36" i="3" s="1"/>
  <c r="Y28" i="3"/>
  <c r="X28" i="3"/>
  <c r="S28" i="3"/>
  <c r="K28" i="3"/>
  <c r="J28" i="3"/>
  <c r="I28" i="3"/>
  <c r="H28" i="3"/>
  <c r="G28" i="3"/>
  <c r="F28" i="3"/>
  <c r="E28" i="3"/>
  <c r="D28" i="3"/>
  <c r="C28" i="3"/>
  <c r="B28" i="3"/>
  <c r="B38" i="3" s="1"/>
  <c r="C6" i="3" s="1"/>
  <c r="C38" i="3" s="1"/>
  <c r="D6" i="3" s="1"/>
  <c r="D38" i="3" s="1"/>
  <c r="E6" i="3" s="1"/>
  <c r="E38" i="3" s="1"/>
  <c r="F6" i="3" s="1"/>
  <c r="F38" i="3" s="1"/>
  <c r="G6" i="3" s="1"/>
  <c r="G38" i="3" s="1"/>
  <c r="H6" i="3" s="1"/>
  <c r="H38" i="3" s="1"/>
  <c r="I6" i="3" s="1"/>
  <c r="I38" i="3" s="1"/>
  <c r="J6" i="3" s="1"/>
  <c r="J38" i="3" s="1"/>
  <c r="K6" i="3" s="1"/>
  <c r="K38" i="3" s="1"/>
  <c r="L6" i="3" s="1"/>
  <c r="AD27" i="3"/>
  <c r="Y27" i="3"/>
  <c r="X27" i="3"/>
  <c r="W27" i="3"/>
  <c r="V27" i="3"/>
  <c r="S27" i="3"/>
  <c r="R27" i="3"/>
  <c r="Q27" i="3"/>
  <c r="K27" i="3"/>
  <c r="J27" i="3"/>
  <c r="I27" i="3"/>
  <c r="H27" i="3"/>
  <c r="G27" i="3"/>
  <c r="AD26" i="3"/>
  <c r="AD25" i="3"/>
  <c r="AD24" i="3"/>
  <c r="AD23" i="3"/>
  <c r="AD22" i="3"/>
  <c r="U22" i="3"/>
  <c r="S22" i="3"/>
  <c r="R22" i="3"/>
  <c r="Q22" i="3"/>
  <c r="P22" i="3"/>
  <c r="M22" i="3"/>
  <c r="L22" i="3"/>
  <c r="AD21" i="3"/>
  <c r="U21" i="3"/>
  <c r="T21" i="3"/>
  <c r="P21" i="3"/>
  <c r="M21" i="3"/>
  <c r="AD20" i="3"/>
  <c r="V20" i="3"/>
  <c r="U20" i="3"/>
  <c r="P20" i="3"/>
  <c r="O20" i="3"/>
  <c r="M20" i="3"/>
  <c r="AD19" i="3"/>
  <c r="W19" i="3"/>
  <c r="V19" i="3"/>
  <c r="U19" i="3"/>
  <c r="T19" i="3"/>
  <c r="R19" i="3"/>
  <c r="R28" i="3" s="1"/>
  <c r="Q19" i="3"/>
  <c r="Q28" i="3" s="1"/>
  <c r="M19" i="3"/>
  <c r="K19" i="3"/>
  <c r="AC18" i="3"/>
  <c r="AC28" i="3" s="1"/>
  <c r="AB18" i="3"/>
  <c r="AB28" i="3" s="1"/>
  <c r="AA18" i="3"/>
  <c r="W18" i="3"/>
  <c r="W28" i="3" s="1"/>
  <c r="V18" i="3"/>
  <c r="V28" i="3" s="1"/>
  <c r="AD17" i="3"/>
  <c r="AD16" i="3"/>
  <c r="AD15" i="3"/>
  <c r="Z15" i="3"/>
  <c r="Z28" i="3" s="1"/>
  <c r="U15" i="3"/>
  <c r="T15" i="3"/>
  <c r="T27" i="3" s="1"/>
  <c r="P15" i="3"/>
  <c r="O15" i="3"/>
  <c r="N15" i="3"/>
  <c r="AD13" i="3"/>
  <c r="AD12" i="3"/>
  <c r="AD11" i="3"/>
  <c r="AD10" i="3"/>
  <c r="M10" i="3"/>
  <c r="L10" i="3"/>
  <c r="AD9" i="3"/>
  <c r="T9" i="3"/>
  <c r="AC36" i="2"/>
  <c r="AB36" i="2"/>
  <c r="AA36" i="2"/>
  <c r="N36" i="2"/>
  <c r="K36" i="2"/>
  <c r="J36" i="2"/>
  <c r="I36" i="2"/>
  <c r="H36" i="2"/>
  <c r="G36" i="2"/>
  <c r="F36" i="2"/>
  <c r="E36" i="2"/>
  <c r="D36" i="2"/>
  <c r="C36" i="2"/>
  <c r="B36" i="2"/>
  <c r="AG35" i="2"/>
  <c r="AG34" i="2"/>
  <c r="AG36" i="2" s="1"/>
  <c r="Z34" i="2"/>
  <c r="Z36" i="2" s="1"/>
  <c r="Y34" i="2"/>
  <c r="Y36" i="2" s="1"/>
  <c r="X34" i="2"/>
  <c r="W34" i="2"/>
  <c r="W36" i="2" s="1"/>
  <c r="V34" i="2"/>
  <c r="V36" i="2" s="1"/>
  <c r="U34" i="2"/>
  <c r="U36" i="2" s="1"/>
  <c r="T34" i="2"/>
  <c r="S34" i="2"/>
  <c r="S36" i="2" s="1"/>
  <c r="R34" i="2"/>
  <c r="R36" i="2" s="1"/>
  <c r="Q34" i="2"/>
  <c r="Q36" i="2" s="1"/>
  <c r="P34" i="2"/>
  <c r="P36" i="2" s="1"/>
  <c r="O34" i="2"/>
  <c r="N34" i="2"/>
  <c r="M34" i="2"/>
  <c r="L34" i="2"/>
  <c r="J34" i="2"/>
  <c r="I34" i="2"/>
  <c r="H34" i="2"/>
  <c r="AG33" i="2"/>
  <c r="AE33" i="2"/>
  <c r="U33" i="2"/>
  <c r="S33" i="2"/>
  <c r="R33" i="2"/>
  <c r="Q33" i="2"/>
  <c r="P33" i="2"/>
  <c r="O33" i="2"/>
  <c r="N33" i="2"/>
  <c r="K33" i="2"/>
  <c r="AG32" i="2"/>
  <c r="AE32" i="2"/>
  <c r="W32" i="2"/>
  <c r="AD32" i="2" s="1"/>
  <c r="AG31" i="2"/>
  <c r="AE31" i="2"/>
  <c r="AD31" i="2"/>
  <c r="Z28" i="2"/>
  <c r="F28" i="2"/>
  <c r="E28" i="2"/>
  <c r="D28" i="2"/>
  <c r="C28" i="2"/>
  <c r="B28" i="2"/>
  <c r="B38" i="2" s="1"/>
  <c r="C6" i="2" s="1"/>
  <c r="C38" i="2" s="1"/>
  <c r="D6" i="2" s="1"/>
  <c r="D38" i="2" s="1"/>
  <c r="E6" i="2" s="1"/>
  <c r="E38" i="2" s="1"/>
  <c r="F6" i="2" s="1"/>
  <c r="F38" i="2" s="1"/>
  <c r="G6" i="2" s="1"/>
  <c r="G38" i="2" s="1"/>
  <c r="H6" i="2" s="1"/>
  <c r="H38" i="2" s="1"/>
  <c r="I6" i="2" s="1"/>
  <c r="I38" i="2" s="1"/>
  <c r="J6" i="2" s="1"/>
  <c r="J38" i="2" s="1"/>
  <c r="K6" i="2" s="1"/>
  <c r="K38" i="2" s="1"/>
  <c r="L6" i="2" s="1"/>
  <c r="AG27" i="2"/>
  <c r="Y27" i="2"/>
  <c r="Y28" i="2" s="1"/>
  <c r="X27" i="2"/>
  <c r="W27" i="2"/>
  <c r="V27" i="2"/>
  <c r="U27" i="2"/>
  <c r="T27" i="2"/>
  <c r="S27" i="2"/>
  <c r="S28" i="2" s="1"/>
  <c r="R27" i="2"/>
  <c r="Q27" i="2"/>
  <c r="P27" i="2"/>
  <c r="O27" i="2"/>
  <c r="N27" i="2"/>
  <c r="M27" i="2"/>
  <c r="L27" i="2"/>
  <c r="K27" i="2"/>
  <c r="J27" i="2"/>
  <c r="J28" i="2" s="1"/>
  <c r="I27" i="2"/>
  <c r="I28" i="2" s="1"/>
  <c r="H27" i="2"/>
  <c r="H28" i="2" s="1"/>
  <c r="G27" i="2"/>
  <c r="G28" i="2" s="1"/>
  <c r="AG26" i="2"/>
  <c r="AE26" i="2"/>
  <c r="AD26" i="2"/>
  <c r="AF26" i="2" s="1"/>
  <c r="AQ25" i="2"/>
  <c r="AN25" i="2"/>
  <c r="AG25" i="2"/>
  <c r="AE25" i="2"/>
  <c r="AD25" i="2"/>
  <c r="AF25" i="2" s="1"/>
  <c r="AP24" i="2"/>
  <c r="AN24" i="2"/>
  <c r="AQ24" i="2" s="1"/>
  <c r="AQ23" i="2" s="1"/>
  <c r="AG24" i="2"/>
  <c r="AE24" i="2"/>
  <c r="AD24" i="2"/>
  <c r="AF24" i="2" s="1"/>
  <c r="AP23" i="2"/>
  <c r="AO23" i="2"/>
  <c r="AN23" i="2"/>
  <c r="AG23" i="2"/>
  <c r="AE23" i="2"/>
  <c r="AD23" i="2"/>
  <c r="AF23" i="2" s="1"/>
  <c r="AG22" i="2"/>
  <c r="AE22" i="2"/>
  <c r="U22" i="2"/>
  <c r="S22" i="2"/>
  <c r="R22" i="2"/>
  <c r="Q22" i="2"/>
  <c r="P22" i="2"/>
  <c r="AD22" i="2" s="1"/>
  <c r="AF22" i="2" s="1"/>
  <c r="M22" i="2"/>
  <c r="L22" i="2"/>
  <c r="AN21" i="2"/>
  <c r="AQ21" i="2" s="1"/>
  <c r="AG21" i="2"/>
  <c r="AE21" i="2"/>
  <c r="U21" i="2"/>
  <c r="T21" i="2"/>
  <c r="P21" i="2"/>
  <c r="AD21" i="2" s="1"/>
  <c r="AF21" i="2" s="1"/>
  <c r="M21" i="2"/>
  <c r="AN20" i="2"/>
  <c r="AQ20" i="2" s="1"/>
  <c r="AG20" i="2"/>
  <c r="AE20" i="2"/>
  <c r="V20" i="2"/>
  <c r="U20" i="2"/>
  <c r="P20" i="2"/>
  <c r="P28" i="2" s="1"/>
  <c r="O20" i="2"/>
  <c r="M20" i="2"/>
  <c r="AP19" i="2"/>
  <c r="AO19" i="2"/>
  <c r="AN19" i="2"/>
  <c r="AG19" i="2"/>
  <c r="AE19" i="2"/>
  <c r="W19" i="2"/>
  <c r="V19" i="2"/>
  <c r="U19" i="2"/>
  <c r="U28" i="2" s="1"/>
  <c r="T19" i="2"/>
  <c r="R19" i="2"/>
  <c r="R28" i="2" s="1"/>
  <c r="Q19" i="2"/>
  <c r="M19" i="2"/>
  <c r="K19" i="2"/>
  <c r="K28" i="2" s="1"/>
  <c r="AC18" i="2"/>
  <c r="AC28" i="2" s="1"/>
  <c r="AB18" i="2"/>
  <c r="AB28" i="2" s="1"/>
  <c r="AA18" i="2"/>
  <c r="W18" i="2"/>
  <c r="W28" i="2" s="1"/>
  <c r="V18" i="2"/>
  <c r="AN17" i="2"/>
  <c r="AQ17" i="2" s="1"/>
  <c r="AG17" i="2"/>
  <c r="AE17" i="2"/>
  <c r="AD17" i="2"/>
  <c r="AF17" i="2" s="1"/>
  <c r="AP16" i="2"/>
  <c r="AP14" i="2" s="1"/>
  <c r="AP27" i="2" s="1"/>
  <c r="AO16" i="2"/>
  <c r="AO14" i="2" s="1"/>
  <c r="AO27" i="2" s="1"/>
  <c r="AN16" i="2"/>
  <c r="AG16" i="2"/>
  <c r="AE16" i="2"/>
  <c r="AD16" i="2"/>
  <c r="AF16" i="2" s="1"/>
  <c r="AN15" i="2"/>
  <c r="AQ15" i="2" s="1"/>
  <c r="AG15" i="2"/>
  <c r="Z15" i="2"/>
  <c r="AE15" i="2" s="1"/>
  <c r="U15" i="2"/>
  <c r="T15" i="2"/>
  <c r="P15" i="2"/>
  <c r="O15" i="2"/>
  <c r="N15" i="2"/>
  <c r="AD15" i="2" s="1"/>
  <c r="AF15" i="2" s="1"/>
  <c r="AG14" i="2"/>
  <c r="AE14" i="2"/>
  <c r="AD14" i="2"/>
  <c r="AF14" i="2" s="1"/>
  <c r="AE13" i="2"/>
  <c r="AD13" i="2"/>
  <c r="AF13" i="2" s="1"/>
  <c r="AP12" i="2"/>
  <c r="AO12" i="2"/>
  <c r="AN12" i="2"/>
  <c r="AQ12" i="2" s="1"/>
  <c r="AG12" i="2"/>
  <c r="AE12" i="2"/>
  <c r="AD12" i="2"/>
  <c r="AF12" i="2" s="1"/>
  <c r="AP11" i="2"/>
  <c r="AQ11" i="2" s="1"/>
  <c r="AG11" i="2"/>
  <c r="AE11" i="2"/>
  <c r="AD11" i="2"/>
  <c r="AF11" i="2" s="1"/>
  <c r="AP10" i="2"/>
  <c r="AO10" i="2"/>
  <c r="AN10" i="2"/>
  <c r="AQ10" i="2" s="1"/>
  <c r="AG10" i="2"/>
  <c r="AE10" i="2"/>
  <c r="AD10" i="2"/>
  <c r="AF10" i="2" s="1"/>
  <c r="M10" i="2"/>
  <c r="L10" i="2"/>
  <c r="AP9" i="2"/>
  <c r="AO9" i="2"/>
  <c r="AN9" i="2"/>
  <c r="AQ9" i="2" s="1"/>
  <c r="AG9" i="2"/>
  <c r="AE9" i="2"/>
  <c r="T9" i="2"/>
  <c r="AP8" i="2"/>
  <c r="AO8" i="2"/>
  <c r="AN8" i="2"/>
  <c r="AQ8" i="2" s="1"/>
  <c r="AQ7" i="2" s="1"/>
  <c r="AP7" i="2"/>
  <c r="AO7" i="2"/>
  <c r="AN7" i="2"/>
  <c r="R80" i="5" l="1"/>
  <c r="R89" i="5" s="1"/>
  <c r="P89" i="5"/>
  <c r="R73" i="5"/>
  <c r="R76" i="5" s="1"/>
  <c r="P76" i="5"/>
  <c r="Q61" i="5"/>
  <c r="R59" i="5"/>
  <c r="S35" i="5"/>
  <c r="I74" i="5"/>
  <c r="I77" i="5" s="1"/>
  <c r="I80" i="5" s="1"/>
  <c r="Q35" i="5"/>
  <c r="P61" i="5" s="1"/>
  <c r="T33" i="5"/>
  <c r="T35" i="5" s="1"/>
  <c r="H74" i="5"/>
  <c r="J79" i="5"/>
  <c r="K79" i="5" s="1"/>
  <c r="S27" i="5"/>
  <c r="Q27" i="5"/>
  <c r="R18" i="5"/>
  <c r="R35" i="1"/>
  <c r="H74" i="1"/>
  <c r="G77" i="1"/>
  <c r="G80" i="1" s="1"/>
  <c r="J79" i="1"/>
  <c r="P35" i="1"/>
  <c r="S33" i="1"/>
  <c r="S35" i="1" s="1"/>
  <c r="R27" i="1"/>
  <c r="P27" i="1"/>
  <c r="P36" i="1" s="1"/>
  <c r="Q18" i="1"/>
  <c r="S12" i="1"/>
  <c r="B22" i="4"/>
  <c r="E22" i="4" s="1"/>
  <c r="C22" i="4"/>
  <c r="AD18" i="3"/>
  <c r="AD28" i="3" s="1"/>
  <c r="AD38" i="3" s="1"/>
  <c r="AA28" i="3"/>
  <c r="U27" i="3"/>
  <c r="U28" i="3" s="1"/>
  <c r="P27" i="3"/>
  <c r="P28" i="3" s="1"/>
  <c r="O27" i="3"/>
  <c r="O28" i="3" s="1"/>
  <c r="N27" i="3"/>
  <c r="N28" i="3" s="1"/>
  <c r="M27" i="3"/>
  <c r="M33" i="3"/>
  <c r="M36" i="3" s="1"/>
  <c r="M28" i="3"/>
  <c r="L33" i="3"/>
  <c r="L36" i="3" s="1"/>
  <c r="L27" i="3"/>
  <c r="L28" i="3" s="1"/>
  <c r="L38" i="3" s="1"/>
  <c r="M6" i="3" s="1"/>
  <c r="M38" i="3" s="1"/>
  <c r="N6" i="3" s="1"/>
  <c r="N38" i="3" s="1"/>
  <c r="O6" i="3" s="1"/>
  <c r="O38" i="3" s="1"/>
  <c r="P6" i="3" s="1"/>
  <c r="P38" i="3" s="1"/>
  <c r="Q6" i="3" s="1"/>
  <c r="Q38" i="3" s="1"/>
  <c r="R6" i="3" s="1"/>
  <c r="R38" i="3" s="1"/>
  <c r="S6" i="3" s="1"/>
  <c r="S38" i="3" s="1"/>
  <c r="T6" i="3" s="1"/>
  <c r="T38" i="3" s="1"/>
  <c r="U6" i="3" s="1"/>
  <c r="U38" i="3" s="1"/>
  <c r="V6" i="3" s="1"/>
  <c r="V38" i="3" s="1"/>
  <c r="W6" i="3" s="1"/>
  <c r="W38" i="3" s="1"/>
  <c r="X6" i="3" s="1"/>
  <c r="X38" i="3" s="1"/>
  <c r="Y6" i="3" s="1"/>
  <c r="Y38" i="3" s="1"/>
  <c r="Z6" i="3" s="1"/>
  <c r="Z38" i="3" s="1"/>
  <c r="AA6" i="3" s="1"/>
  <c r="AA38" i="3" s="1"/>
  <c r="AB6" i="3" s="1"/>
  <c r="AB38" i="3" s="1"/>
  <c r="AC6" i="3" s="1"/>
  <c r="AC38" i="3" s="1"/>
  <c r="T28" i="3"/>
  <c r="T33" i="3"/>
  <c r="T36" i="3" s="1"/>
  <c r="AE34" i="2"/>
  <c r="AE36" i="2" s="1"/>
  <c r="X36" i="2"/>
  <c r="O36" i="2"/>
  <c r="AD34" i="2"/>
  <c r="X28" i="2"/>
  <c r="AE27" i="2"/>
  <c r="AD27" i="2"/>
  <c r="AF27" i="2" s="1"/>
  <c r="N28" i="2"/>
  <c r="O28" i="2"/>
  <c r="AD20" i="2"/>
  <c r="AF20" i="2" s="1"/>
  <c r="Q28" i="2"/>
  <c r="AD19" i="2"/>
  <c r="AF19" i="2" s="1"/>
  <c r="AE18" i="2"/>
  <c r="AE28" i="2" s="1"/>
  <c r="AA28" i="2"/>
  <c r="AG18" i="2"/>
  <c r="AG28" i="2" s="1"/>
  <c r="AG38" i="2" s="1"/>
  <c r="V28" i="2"/>
  <c r="AD18" i="2"/>
  <c r="AF18" i="2" s="1"/>
  <c r="AQ16" i="2"/>
  <c r="AQ14" i="2" s="1"/>
  <c r="AN14" i="2"/>
  <c r="AN27" i="2" s="1"/>
  <c r="M28" i="2"/>
  <c r="M33" i="2"/>
  <c r="M36" i="2" s="1"/>
  <c r="L28" i="2"/>
  <c r="L33" i="2"/>
  <c r="L36" i="2" s="1"/>
  <c r="T28" i="2"/>
  <c r="AD9" i="2"/>
  <c r="T33" i="2"/>
  <c r="AQ19" i="2"/>
  <c r="P65" i="5" l="1"/>
  <c r="P91" i="5"/>
  <c r="Q60" i="5"/>
  <c r="Q66" i="5"/>
  <c r="Q59" i="5"/>
  <c r="Q65" i="5"/>
  <c r="H67" i="5"/>
  <c r="H69" i="5" s="1"/>
  <c r="R61" i="5"/>
  <c r="Q36" i="5"/>
  <c r="O61" i="5"/>
  <c r="R27" i="5"/>
  <c r="T18" i="5"/>
  <c r="H77" i="5"/>
  <c r="H80" i="5" s="1"/>
  <c r="T27" i="5"/>
  <c r="R91" i="5" s="1"/>
  <c r="S36" i="5"/>
  <c r="H77" i="1"/>
  <c r="H80" i="1" s="1"/>
  <c r="S18" i="1"/>
  <c r="Q27" i="1"/>
  <c r="S27" i="1" s="1"/>
  <c r="R36" i="1"/>
  <c r="AF9" i="2"/>
  <c r="AF28" i="2" s="1"/>
  <c r="AD28" i="2"/>
  <c r="AD33" i="2"/>
  <c r="AD36" i="2" s="1"/>
  <c r="T36" i="2"/>
  <c r="L38" i="2"/>
  <c r="M6" i="2" s="1"/>
  <c r="M38" i="2" s="1"/>
  <c r="N6" i="2" s="1"/>
  <c r="AQ27" i="2"/>
  <c r="AR27" i="2" s="1"/>
  <c r="O60" i="5" l="1"/>
  <c r="O59" i="5"/>
  <c r="I69" i="5"/>
  <c r="U33" i="5"/>
  <c r="U34" i="5"/>
  <c r="T36" i="5"/>
  <c r="T34" i="1"/>
  <c r="I75" i="1" s="1"/>
  <c r="S36" i="1"/>
  <c r="T33" i="1"/>
  <c r="N38" i="2"/>
  <c r="O6" i="2" s="1"/>
  <c r="O38" i="2" s="1"/>
  <c r="P6" i="2" s="1"/>
  <c r="P38" i="2" s="1"/>
  <c r="Q6" i="2" s="1"/>
  <c r="Q38" i="2" s="1"/>
  <c r="R6" i="2" s="1"/>
  <c r="R38" i="2" s="1"/>
  <c r="S6" i="2" s="1"/>
  <c r="S38" i="2" s="1"/>
  <c r="T6" i="2" s="1"/>
  <c r="T38" i="2" s="1"/>
  <c r="U6" i="2" s="1"/>
  <c r="U38" i="2" s="1"/>
  <c r="V6" i="2" s="1"/>
  <c r="V38" i="2" s="1"/>
  <c r="W6" i="2" s="1"/>
  <c r="W38" i="2" s="1"/>
  <c r="X6" i="2" s="1"/>
  <c r="X38" i="2" s="1"/>
  <c r="Y6" i="2" s="1"/>
  <c r="Y38" i="2" s="1"/>
  <c r="Z6" i="2" s="1"/>
  <c r="Z38" i="2" s="1"/>
  <c r="AA6" i="2" s="1"/>
  <c r="AA38" i="2" s="1"/>
  <c r="AB6" i="2" s="1"/>
  <c r="AB38" i="2" s="1"/>
  <c r="AC6" i="2" s="1"/>
  <c r="AC38" i="2" s="1"/>
  <c r="AD6" i="2"/>
  <c r="AD38" i="2" s="1"/>
  <c r="AE6" i="2" s="1"/>
  <c r="AE38" i="2" s="1"/>
  <c r="I68" i="5" l="1"/>
  <c r="I67" i="5"/>
  <c r="K67" i="5"/>
  <c r="J69" i="5"/>
  <c r="J75" i="5"/>
  <c r="K68" i="5"/>
  <c r="U35" i="5"/>
  <c r="J74" i="5"/>
  <c r="K75" i="5"/>
  <c r="J85" i="5"/>
  <c r="J75" i="1"/>
  <c r="J85" i="1" s="1"/>
  <c r="I85" i="1"/>
  <c r="T35" i="1"/>
  <c r="I74" i="1"/>
  <c r="R65" i="5" l="1"/>
  <c r="R66" i="5" s="1"/>
  <c r="J68" i="5"/>
  <c r="J67" i="5"/>
  <c r="K69" i="5"/>
  <c r="K74" i="5"/>
  <c r="J77" i="5"/>
  <c r="J80" i="5" s="1"/>
  <c r="H84" i="5"/>
  <c r="L85" i="5"/>
  <c r="K85" i="5"/>
  <c r="G84" i="1"/>
  <c r="J74" i="1"/>
  <c r="J84" i="1" s="1"/>
  <c r="I77" i="1"/>
  <c r="I80" i="1" s="1"/>
  <c r="L84" i="5" l="1"/>
  <c r="K84" i="5"/>
  <c r="K77" i="5"/>
  <c r="K80" i="5" s="1"/>
  <c r="I84" i="5"/>
  <c r="J84" i="5"/>
  <c r="H84" i="1"/>
  <c r="I84" i="1" s="1"/>
  <c r="J77" i="1"/>
  <c r="J80" i="1" s="1"/>
  <c r="K84" i="1"/>
  <c r="K85" i="1"/>
</calcChain>
</file>

<file path=xl/sharedStrings.xml><?xml version="1.0" encoding="utf-8"?>
<sst xmlns="http://schemas.openxmlformats.org/spreadsheetml/2006/main" count="509" uniqueCount="329">
  <si>
    <t>FINANCING TO COMPLETION 2025–2026</t>
  </si>
  <si>
    <t>As of 13 Jun 2025</t>
  </si>
  <si>
    <t>As of 09 Apr 2026</t>
  </si>
  <si>
    <t>A</t>
  </si>
  <si>
    <t>Allocation</t>
  </si>
  <si>
    <t>2025 ( MAR-SEP)</t>
  </si>
  <si>
    <t>2025 ( OCT-DEC)</t>
  </si>
  <si>
    <t>2026 (JAN-JUN)</t>
  </si>
  <si>
    <t>ACTUAL</t>
  </si>
  <si>
    <t>PROJECTED</t>
  </si>
  <si>
    <t>CAPITAL CALL</t>
  </si>
  <si>
    <t>ACTUAL SPENT</t>
  </si>
  <si>
    <t>DEFICIT OF FUNDS</t>
  </si>
  <si>
    <t>PROJECTED &amp; ACTUAL</t>
  </si>
  <si>
    <t xml:space="preserve">Description </t>
  </si>
  <si>
    <t>%</t>
  </si>
  <si>
    <t>MARCH</t>
  </si>
  <si>
    <t>APRIL</t>
  </si>
  <si>
    <t>MAY</t>
  </si>
  <si>
    <t>JUNE</t>
  </si>
  <si>
    <t>JULY</t>
  </si>
  <si>
    <t>AUGUST</t>
  </si>
  <si>
    <t>SEPTEMBER</t>
  </si>
  <si>
    <t xml:space="preserve">
Sep 2025</t>
  </si>
  <si>
    <t>OCT-DEC</t>
  </si>
  <si>
    <t>DIFFERENCE BTW REQUESTED &amp; RECEIVED</t>
  </si>
  <si>
    <t>Jan2026 -June 2026</t>
  </si>
  <si>
    <t>Uses</t>
  </si>
  <si>
    <t>Available at begining of period</t>
  </si>
  <si>
    <t>CAPEX</t>
  </si>
  <si>
    <t xml:space="preserve">Construction and Development </t>
  </si>
  <si>
    <t>Hotel Replacement Construction Costs</t>
  </si>
  <si>
    <t>Appartments  Replacement Construction Costs</t>
  </si>
  <si>
    <t xml:space="preserve">OPEX </t>
  </si>
  <si>
    <t>Settlement and Warranty Fund</t>
  </si>
  <si>
    <t xml:space="preserve">Mandarin Hotel  Pre-Opening Costs  </t>
  </si>
  <si>
    <t>Hotel Staff</t>
  </si>
  <si>
    <t>Marketing HotelCo and preopening costs</t>
  </si>
  <si>
    <t xml:space="preserve">Marketing AppartCo ( not yet calculated) </t>
  </si>
  <si>
    <t>Working Capital liquidity Hotel</t>
  </si>
  <si>
    <t>OS&amp;E,IT and ART</t>
  </si>
  <si>
    <t>sales Fee, property management</t>
  </si>
  <si>
    <t>Bank Interests</t>
  </si>
  <si>
    <t>VAT and Taxes</t>
  </si>
  <si>
    <t>Total Uses</t>
  </si>
  <si>
    <t>Sources</t>
  </si>
  <si>
    <t>Bank Finance</t>
  </si>
  <si>
    <t xml:space="preserve">Sales of Appartments </t>
  </si>
  <si>
    <t xml:space="preserve">S'Holder Total Capital Injection </t>
  </si>
  <si>
    <t>Fund ( 52%) Actual Capital Injection</t>
  </si>
  <si>
    <t>Total Sources</t>
  </si>
  <si>
    <t>Balance at the end of period</t>
  </si>
  <si>
    <t>B</t>
  </si>
  <si>
    <t xml:space="preserve">If no income from  sales of appartments untill September 2025  </t>
  </si>
  <si>
    <t>Total Pmts</t>
  </si>
  <si>
    <t>C</t>
  </si>
  <si>
    <t xml:space="preserve">Fund  ( 52%) </t>
  </si>
  <si>
    <t xml:space="preserve">If no income from sales of appartments untill September 2025  </t>
  </si>
  <si>
    <t>Fund Contractually due  Capital Injection</t>
  </si>
  <si>
    <t xml:space="preserve">Fund Actually Invested </t>
  </si>
  <si>
    <t xml:space="preserve">Fund Over-invested </t>
  </si>
  <si>
    <t xml:space="preserve">Fund Over-invested Accumulated </t>
  </si>
  <si>
    <t xml:space="preserve">Funding Provided by the Parties 
( before opening) </t>
  </si>
  <si>
    <t xml:space="preserve">Parties </t>
  </si>
  <si>
    <t>by 31.06.2025</t>
  </si>
  <si>
    <t>by 31.10.2025</t>
  </si>
  <si>
    <t xml:space="preserve">Required Funding </t>
  </si>
  <si>
    <t xml:space="preserve">Parties Loans Provided </t>
  </si>
  <si>
    <t>Total for the Period</t>
  </si>
  <si>
    <t xml:space="preserve">Funding 1 and Funding 2 Provided by the Parties 
( post opening) </t>
  </si>
  <si>
    <t>31.09.2025 -  31.12.2025</t>
  </si>
  <si>
    <t>31.12.2025 - 31.03.2026</t>
  </si>
  <si>
    <t>Required Additional Funding 1</t>
  </si>
  <si>
    <t>Required Additional Funding 2</t>
  </si>
  <si>
    <t xml:space="preserve">not provided </t>
  </si>
  <si>
    <t xml:space="preserve">Required Funding  by the Parties 
 ( April Jun 2026)
</t>
  </si>
  <si>
    <t xml:space="preserve">by 31.03.2026 </t>
  </si>
  <si>
    <t xml:space="preserve">Provided </t>
  </si>
  <si>
    <t>Should Have been Provided</t>
  </si>
  <si>
    <t xml:space="preserve">Required Additional Funding </t>
  </si>
  <si>
    <t>Parties Loans to be Provided ( incl Disbalance Rectification)</t>
  </si>
  <si>
    <t>Asset Allocation</t>
  </si>
  <si>
    <t>from 31.09.2025 till 31.12.2025</t>
  </si>
  <si>
    <t>from 31.12.2025 till 31.03.2026</t>
  </si>
  <si>
    <t>from 31.03.2026 till 31.06.2026</t>
  </si>
  <si>
    <t>OPEX</t>
  </si>
  <si>
    <t>CAPEX - Finishing Construction</t>
  </si>
  <si>
    <t>Capital Required</t>
  </si>
  <si>
    <t>Description</t>
  </si>
  <si>
    <t>Oct-Dec2025</t>
  </si>
  <si>
    <t>Jan-Jun 2026</t>
  </si>
  <si>
    <t>Total Oct-Jun</t>
  </si>
  <si>
    <t>Construction Hotel</t>
  </si>
  <si>
    <t xml:space="preserve">    → Overran EUR 1.34M from 2-month delay (Sep→Nov opening). Ongoing works to completion.</t>
  </si>
  <si>
    <t>Defects Hotel</t>
  </si>
  <si>
    <t xml:space="preserve">    → Post-Hagenauer insolvency. Hotel defects repaired at own cost. Electrical audit EUR 250-300K before May 26 inspection.</t>
  </si>
  <si>
    <t>Finish Appartments</t>
  </si>
  <si>
    <t xml:space="preserve">    → Windows, KNX, electrical defects. New contractors at full price — Hagenauer subcontractors refuse to return.</t>
  </si>
  <si>
    <t>Staff hired for Sep opening. Continued drawing salaries through Nov. EUR 850K/month × 2 delay months.</t>
  </si>
  <si>
    <t>MO Marketing</t>
  </si>
  <si>
    <t>Marketing paused during delay — resumed Q1 2026.</t>
  </si>
  <si>
    <t>Warranties</t>
  </si>
  <si>
    <t>Hagenauer EUR 19M claim. Settlement, 3-year guarantees, legal costs.</t>
  </si>
  <si>
    <t>Working Capital Hotel (NEW)</t>
  </si>
  <si>
    <t>MO contractual right to EUR 1.5M reserve. Daily operations (food, supplies, salaries).</t>
  </si>
  <si>
    <t>OS&amp;E, IT, Art</t>
  </si>
  <si>
    <t>Over-budget IT systems (EUR 319K — PMS, WiFi, smart room). Art EUR 105K.</t>
  </si>
  <si>
    <t>Sales Fees &amp; Property Management</t>
  </si>
  <si>
    <t>Apartment sales commissions (1.5–2%) + property management. Sales started after construction.</t>
  </si>
  <si>
    <t>Bank Interest (Aukera)</t>
  </si>
  <si>
    <t>Senior facility 5.4% p.a. EUR 350–500K/month. Higher due to extended drawdown from delay.</t>
  </si>
  <si>
    <t>VAT &amp; Taxes (NEW LAW)</t>
  </si>
  <si>
    <t>Nov 2025 Betrugsbekämpfungsgesetz. Luxury apartments &gt;EUR 2.5M lose VAT exemption. EUR 5.77M hit.</t>
  </si>
  <si>
    <t>OPEX SUBTOTAL</t>
  </si>
  <si>
    <t>TOTAL CAPITAL REQUIRED (Oct 2025 – Jun 2026)</t>
  </si>
  <si>
    <t>SOURCES OF FUNDING — How the EUR 27,134,844 is Covered</t>
  </si>
  <si>
    <t>Source</t>
  </si>
  <si>
    <t>Oct-Dec 2025</t>
  </si>
  <si>
    <t>Jan-Mar 2026</t>
  </si>
  <si>
    <t>Apr-Jun 2026</t>
  </si>
  <si>
    <t>Total</t>
  </si>
  <si>
    <t>Fund (52%)</t>
  </si>
  <si>
    <t>Parties Total</t>
  </si>
  <si>
    <t>Apartment Sales Proceeds</t>
  </si>
  <si>
    <t>Equity Requirements Calculations  V1</t>
  </si>
  <si>
    <t>Internal notes / BC</t>
  </si>
  <si>
    <t>Date: 13.9.2024</t>
  </si>
  <si>
    <t>June 3-9</t>
  </si>
  <si>
    <t>June 17-21</t>
  </si>
  <si>
    <t>June 24-30</t>
  </si>
  <si>
    <t>July 8-14</t>
  </si>
  <si>
    <t>July 22-25</t>
  </si>
  <si>
    <t>August  5-11</t>
  </si>
  <si>
    <t>Sept. 2-8</t>
  </si>
  <si>
    <t>Oct 1-4</t>
  </si>
  <si>
    <t>Nov 4-8</t>
  </si>
  <si>
    <t>Dec 2-6</t>
  </si>
  <si>
    <t>Jan 1-3</t>
  </si>
  <si>
    <t>Feb 3-6</t>
  </si>
  <si>
    <t>March 3-6</t>
  </si>
  <si>
    <t>Apr 1-4</t>
  </si>
  <si>
    <t>May 5-8</t>
  </si>
  <si>
    <t>June 2-5</t>
  </si>
  <si>
    <t>July 1-4</t>
  </si>
  <si>
    <t>Total from March 2025 -Dec 2025</t>
  </si>
  <si>
    <t>Jan 2026-June 2026</t>
  </si>
  <si>
    <t>TOTAL</t>
  </si>
  <si>
    <t>TOTAL outstanding</t>
  </si>
  <si>
    <t>SUMMARY POSITION FROM TL</t>
  </si>
  <si>
    <t>OUTGOINGS</t>
  </si>
  <si>
    <t>Q2 Total</t>
  </si>
  <si>
    <t>Balance begining of period</t>
  </si>
  <si>
    <t>Type</t>
  </si>
  <si>
    <t>update date</t>
  </si>
  <si>
    <t>MOVIE Development works</t>
  </si>
  <si>
    <t xml:space="preserve">Payments </t>
  </si>
  <si>
    <t>identify OB locations</t>
  </si>
  <si>
    <t>Hotel / HAG replacement</t>
  </si>
  <si>
    <t>Soft accrual</t>
  </si>
  <si>
    <t>Hagenauer Fit out</t>
  </si>
  <si>
    <t>reconcile with Bs</t>
  </si>
  <si>
    <t>Residences / HAG replacement</t>
  </si>
  <si>
    <t xml:space="preserve">Hagenauer FF&amp;E </t>
  </si>
  <si>
    <t>split to weekly</t>
  </si>
  <si>
    <t>Residences / Standard works</t>
  </si>
  <si>
    <t>What is this</t>
  </si>
  <si>
    <t>Hagenauer HKLS</t>
  </si>
  <si>
    <t>what is open A/P now?</t>
  </si>
  <si>
    <t>Kitchen / Terraces / Eng Bauer</t>
  </si>
  <si>
    <t>Hagenauer Damage claim deduction</t>
  </si>
  <si>
    <t>What is soft accrual?</t>
  </si>
  <si>
    <t>Brisen Development costs</t>
  </si>
  <si>
    <t>Hard accrual</t>
  </si>
  <si>
    <t>Hagenauer TU Fee</t>
  </si>
  <si>
    <t xml:space="preserve">Should the net equity requirements only? </t>
  </si>
  <si>
    <t>VAT recon of past</t>
  </si>
  <si>
    <t>Hotel replacement Hagenauer</t>
  </si>
  <si>
    <t>Are the CF items net of VAT?</t>
  </si>
  <si>
    <t>MOVIE Hotel operations</t>
  </si>
  <si>
    <t xml:space="preserve">Apartments standard </t>
  </si>
  <si>
    <t>Review BD costs</t>
  </si>
  <si>
    <t>Preopening payables</t>
  </si>
  <si>
    <t>Apartments replacment of Hagenauer</t>
  </si>
  <si>
    <t>is this Hotel subcontractors?</t>
  </si>
  <si>
    <t>Property Management</t>
  </si>
  <si>
    <t>kitchen/terraces/facade/Engelmann Bauer</t>
  </si>
  <si>
    <t>80k pm sales or PM fee?</t>
  </si>
  <si>
    <t>Operations funding / shortfall</t>
  </si>
  <si>
    <t>Split BD costs to Dev / Ops</t>
  </si>
  <si>
    <t>Development Cost</t>
  </si>
  <si>
    <t>Aukera interest is quaterly</t>
  </si>
  <si>
    <t>Taxes</t>
  </si>
  <si>
    <t xml:space="preserve">Art </t>
  </si>
  <si>
    <t>Reconcile Loan / Equity from Sales</t>
  </si>
  <si>
    <t>VAT outgoing</t>
  </si>
  <si>
    <t>OS&amp;E,fitness including VAT</t>
  </si>
  <si>
    <t>VAT incoming</t>
  </si>
  <si>
    <t>IT</t>
  </si>
  <si>
    <t>Mandarin Pre-Opening employees</t>
  </si>
  <si>
    <t>Aukera Senior Lending</t>
  </si>
  <si>
    <t>Mandarin Pre-Opening Marketing and other Costs / Consumables</t>
  </si>
  <si>
    <t xml:space="preserve"> </t>
  </si>
  <si>
    <t>Interest</t>
  </si>
  <si>
    <t>Should be monthly</t>
  </si>
  <si>
    <t>Principal repayment</t>
  </si>
  <si>
    <t>Interest Reserve have to be finance from Equity or Sales only</t>
  </si>
  <si>
    <t>OUTGOINGS TOTAL</t>
  </si>
  <si>
    <t>Total Payments</t>
  </si>
  <si>
    <t>Funding ideas</t>
  </si>
  <si>
    <t>to negotiate 1.5m loan from Aukera</t>
  </si>
  <si>
    <t>Sales</t>
  </si>
  <si>
    <t>Aukera Annaberg loan</t>
  </si>
  <si>
    <t>on current sale of 3 apartments</t>
  </si>
  <si>
    <t>Special Requests, interests Cupial, Sales Fee</t>
  </si>
  <si>
    <t>MO Fee settlement</t>
  </si>
  <si>
    <t>to negotiate 1.5m loan from MO</t>
  </si>
  <si>
    <t>Release of Cash LIST, HAG 5% retention money</t>
  </si>
  <si>
    <t>Equity</t>
  </si>
  <si>
    <t>Add. Auera Finance</t>
  </si>
  <si>
    <t>Total Finance</t>
  </si>
  <si>
    <t>Comments</t>
  </si>
  <si>
    <t>MOHG marketing licence Fee 3,945 mio EUR due in Dec 2025 after handover of the apartments - not included in this CF!</t>
  </si>
  <si>
    <t>registration mortage Fee 2,0 mio EUR is not included - unclear when court decicion will occur</t>
  </si>
  <si>
    <t>Hagenauer replacement cost for Hotel are not assessed yet</t>
  </si>
  <si>
    <t xml:space="preserve">  </t>
  </si>
  <si>
    <t xml:space="preserve">Progress of works </t>
  </si>
  <si>
    <t>Fit out planned</t>
  </si>
  <si>
    <t>Fit out actual</t>
  </si>
  <si>
    <t>FF&amp;E planned</t>
  </si>
  <si>
    <t>FF&amp;E actual</t>
  </si>
  <si>
    <t>HKLS planned</t>
  </si>
  <si>
    <t>HKLS actual</t>
  </si>
  <si>
    <t>TU Fees paid</t>
  </si>
  <si>
    <t>planned</t>
  </si>
  <si>
    <t>actual + Forecast</t>
  </si>
  <si>
    <t>progress of works per end of September</t>
  </si>
  <si>
    <t xml:space="preserve">works open </t>
  </si>
  <si>
    <t>DEFICIT OF FUNDS AND PROJECTED TILL JUNE 2026</t>
  </si>
  <si>
    <t>OCT -JUNE 2026</t>
  </si>
  <si>
    <t xml:space="preserve">
Apr 2026</t>
  </si>
  <si>
    <t>Parties Funding per OPEX/CAPEX</t>
  </si>
  <si>
    <t>Capex Sub Total</t>
  </si>
  <si>
    <t>Aelios (48%) Actual Capital Injection</t>
  </si>
  <si>
    <t xml:space="preserve">Aelios (48%)  </t>
  </si>
  <si>
    <t xml:space="preserve">Aelios Contractually Due Capital Injection   </t>
  </si>
  <si>
    <t xml:space="preserve">Aelios Contractual due for  Shares of Appartco </t>
  </si>
  <si>
    <t xml:space="preserve">Aelios  Actually Invested &amp; Agreed </t>
  </si>
  <si>
    <t xml:space="preserve">Aelios  Overdue </t>
  </si>
  <si>
    <t xml:space="preserve">Aelios Accumulative Overdue </t>
  </si>
  <si>
    <t>Aelios (48%)</t>
  </si>
  <si>
    <t>OPEX- Hotel Business</t>
  </si>
  <si>
    <t xml:space="preserve">Total </t>
  </si>
  <si>
    <t>Month</t>
  </si>
  <si>
    <t>April 2026</t>
  </si>
  <si>
    <t>May 2026</t>
  </si>
  <si>
    <t>June 2026</t>
  </si>
  <si>
    <t>Expected Capital Tranches (Apr–Jun 2026)</t>
  </si>
  <si>
    <t>% of Parties
Capital</t>
  </si>
  <si>
    <t>Total Provided by Parties
Oct 2025 – Jun 2026</t>
  </si>
  <si>
    <t>Финансирование, предоставленное сторонами
(до открытия)</t>
  </si>
  <si>
    <t>Стороны</t>
  </si>
  <si>
    <t>Фонд (52%)</t>
  </si>
  <si>
    <t>Итого за период</t>
  </si>
  <si>
    <t>Необходимое финансирование от сторон
(апрель–июнь 2026)</t>
  </si>
  <si>
    <t>Предоставлено</t>
  </si>
  <si>
    <t>Необходимое доп. финансирование</t>
  </si>
  <si>
    <t>Займы к предоставлению (вкл. выравнивание дисбаланса)</t>
  </si>
  <si>
    <t>Финансирование 1 и 2, предоставленное сторонами
(после открытия)</t>
  </si>
  <si>
    <t>Финансирование сторон по OPEX/CAPEX</t>
  </si>
  <si>
    <t>Распределение активов</t>
  </si>
  <si>
    <t>ИСТОЧНИКИ ФИНАНСИРОВАНИЯ — Как покрывается EUR 27 134 844</t>
  </si>
  <si>
    <t>Источник</t>
  </si>
  <si>
    <t>Итого по сторонам</t>
  </si>
  <si>
    <t>Поступления от продажи квартир</t>
  </si>
  <si>
    <t>Итого</t>
  </si>
  <si>
    <t>Окт–Дек 2025</t>
  </si>
  <si>
    <t>Янв–Мар 2026</t>
  </si>
  <si>
    <t>Апр–Июн 2026</t>
  </si>
  <si>
    <t>Месяц</t>
  </si>
  <si>
    <t>Апрель 2026</t>
  </si>
  <si>
    <t>Май 2026</t>
  </si>
  <si>
    <t>Июнь 2026</t>
  </si>
  <si>
    <t>CAPEX — Завершение строительства</t>
  </si>
  <si>
    <t>Необходимый капитал</t>
  </si>
  <si>
    <t>Строительство отеля</t>
  </si>
  <si>
    <t>Дефекты отеля</t>
  </si>
  <si>
    <t>Завершение квартир</t>
  </si>
  <si>
    <t>Подитог CAPEX</t>
  </si>
  <si>
    <t>Персонал отеля</t>
  </si>
  <si>
    <t>Маркетинг MO</t>
  </si>
  <si>
    <t>Гарантийные обязательства</t>
  </si>
  <si>
    <t>Оборотный капитал отеля (НОВОЕ)</t>
  </si>
  <si>
    <t>OS&amp;E, IT, Искусство</t>
  </si>
  <si>
    <t>Комиссии продаж и управление</t>
  </si>
  <si>
    <t>Банковские проценты (Aukera)</t>
  </si>
  <si>
    <t>НДС и налоги (НОВЫЙ ЗАКОН)</t>
  </si>
  <si>
    <t>ОБЩИЙ НЕОБХОДИМЫЙ КАПИТАЛ (Окт 2025 – Июн 2026)</t>
  </si>
  <si>
    <t>Описание</t>
  </si>
  <si>
    <t xml:space="preserve">    → Перерасход EUR 1,34млн из-за 2-месячной задержки (сент→ноябрь). Текущие работы до завершения.</t>
  </si>
  <si>
    <t xml:space="preserve">    → После банкротства Hagenauer. Ремонт дефектов за свой счёт. Электроаудит EUR 250–300тыс. до инспекции мая 26.</t>
  </si>
  <si>
    <t xml:space="preserve">    → Окна, KNX, электрика. Новые подрядчики по полной цене — субподрядчики Hagenauer отказались возвращаться.</t>
  </si>
  <si>
    <t>Персонал нанят к сентябрю. Продолжали получать з/п до ноября. EUR 850тыс./мес. × 2 мес. задержки.</t>
  </si>
  <si>
    <t>Маркетинг приостановлен во время задержки — возобновлён в I кв. 2026.</t>
  </si>
  <si>
    <t>Контрактное право MO на резерв EUR 1,5млн. Ежедневные операции (питание, материалы, з/п).</t>
  </si>
  <si>
    <t>IT-системы с перерасходом (EUR 319тыс. — PMS, WiFi, умные номера). Искусство EUR 105тыс.</t>
  </si>
  <si>
    <t>Комиссии продаж (1,5–2%) + управление. Продажи начались после строительства.</t>
  </si>
  <si>
    <t>к 31.06.2025</t>
  </si>
  <si>
    <t>к 31.10.2025</t>
  </si>
  <si>
    <t>31.09.2025 – 31.12.2025</t>
  </si>
  <si>
    <t>31.12.2025 – 31.03.2026</t>
  </si>
  <si>
    <t>к 31.03.2026</t>
  </si>
  <si>
    <t>с 31.09.2025 по 31.12.2025</t>
  </si>
  <si>
    <t>с 31.12.2025 по 31.03.2026</t>
  </si>
  <si>
    <t>с 31.03.2026 по 31.06.2026</t>
  </si>
  <si>
    <t>не предоставлено</t>
  </si>
  <si>
    <t>Янв–Июн 2026</t>
  </si>
  <si>
    <t>Итого Окт–Июн</t>
  </si>
  <si>
    <t>Окт 2025 – Мар 2026</t>
  </si>
  <si>
    <t>Транши капитала (окт 2025 – июнь 2026)</t>
  </si>
  <si>
    <t xml:space="preserve">% 
</t>
  </si>
  <si>
    <t>Итого 
Окт 2025 – Июн 2026</t>
  </si>
  <si>
    <t>Необходимо</t>
  </si>
  <si>
    <t>Было необходимо</t>
  </si>
  <si>
    <t>Необходимо сейчас</t>
  </si>
  <si>
    <t>ОПЕРАЦИОННЫЕ РАСХОДЫ — Гостиничный бизнес</t>
  </si>
  <si>
    <t>ПОДИТОГ ОПЕРАЦИОННЫХ РАСХОДОВ</t>
  </si>
  <si>
    <t>Закон о борьбе с мошенничеством (Betrugsbekämpfungsgesetz) нояб. 2025. Люкс-квартиры &gt;EUR 2,5млн теряют освобождение от НДС — EUR 5,77млн.</t>
  </si>
  <si>
    <t>Урегулирование, 3-летние гарантии, юрид. расходы. Возможно, не потребуется в полном объёме</t>
  </si>
  <si>
    <t>Bank Interests . Ok.500тыс./мес. Увеличение из-за продлённого выбора средств.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</si>
</sst>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-* #,##0.00_-;\-* #,##0.00_-;_-* &quot;-&quot;??_-;_-@_-"/>
    <numFmt numFmtId="165" formatCode="_ * #,##0_ ;_ * \-#,##0_ ;_ * &quot;-&quot;??_ ;_ @_ "/>
    <numFmt numFmtId="166" formatCode="0.0%"/>
    <numFmt numFmtId="167" formatCode="#,##0.0000"/>
  </numFmts>
  <fonts count="145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venir-Book"/>
      <family val="2"/>
    </font>
    <font>
      <b/>
      <sz val="11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000000"/>
      <name val="Times New Roman"/>
      <family val="1"/>
    </font>
    <font>
      <sz val="12"/>
      <name val="Times New Roman"/>
      <family val="1"/>
    </font>
    <font>
      <sz val="10"/>
      <color rgb="FF000000"/>
      <name val="Times New Roman"/>
      <family val="1"/>
    </font>
    <font>
      <b/>
      <sz val="12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0"/>
      <name val="Arial"/>
      <family val="2"/>
    </font>
    <font>
      <sz val="14"/>
      <color theme="1"/>
      <name val="Avenir Next Regular"/>
    </font>
    <font>
      <sz val="12"/>
      <color theme="1"/>
      <name val="Avenir Next Regular"/>
    </font>
    <font>
      <sz val="12"/>
      <color theme="1" tint="0.249977111117893"/>
      <name val="Avenir Next Regular"/>
    </font>
    <font>
      <b/>
      <sz val="12"/>
      <color rgb="FF000000"/>
      <name val="Times New Roman"/>
      <family val="1"/>
    </font>
    <font>
      <i/>
      <sz val="12"/>
      <color theme="1" tint="0.249977111117893"/>
      <name val="Avenir Next Regular"/>
    </font>
    <font>
      <i/>
      <sz val="12"/>
      <color rgb="FFFF0000"/>
      <name val="Avenir Next Regular"/>
    </font>
    <font>
      <b/>
      <sz val="12"/>
      <color theme="1" tint="0.249977111117893"/>
      <name val="Avenir Next Regular"/>
    </font>
    <font>
      <i/>
      <sz val="11"/>
      <color theme="1" tint="0.249977111117893"/>
      <name val="Avenir Next Regular"/>
    </font>
    <font>
      <i/>
      <sz val="11"/>
      <color rgb="FFFF0000"/>
      <name val="Avenir Next Regular"/>
    </font>
    <font>
      <sz val="12"/>
      <color theme="1" tint="0.249977111117893"/>
      <name val="Avenir Next Demi Bold"/>
      <family val="2"/>
    </font>
    <font>
      <b/>
      <sz val="14"/>
      <color rgb="FFFF0000"/>
      <name val="Avenir Next Regular"/>
    </font>
    <font>
      <b/>
      <sz val="12"/>
      <color rgb="FFFF0000"/>
      <name val="Avenir Next Regular"/>
    </font>
    <font>
      <b/>
      <sz val="16"/>
      <color rgb="FFFF0000"/>
      <name val="Avenir Next Regular"/>
    </font>
    <font>
      <i/>
      <sz val="10"/>
      <color rgb="FFFF0000"/>
      <name val="Avenir Next Regular"/>
    </font>
    <font>
      <sz val="12"/>
      <color rgb="FFFF0000"/>
      <name val="Avenir Next Demi Bold"/>
      <family val="2"/>
    </font>
    <font>
      <b/>
      <i/>
      <sz val="12"/>
      <color theme="4"/>
      <name val="Avenir Next Regular"/>
    </font>
    <font>
      <i/>
      <sz val="12"/>
      <color theme="4"/>
      <name val="Avenir Next Regular"/>
    </font>
    <font>
      <sz val="12"/>
      <color rgb="FF000000"/>
      <name val="Aptos Narrow"/>
      <family val="2"/>
    </font>
    <font>
      <sz val="12"/>
      <color theme="1"/>
      <name val="Aptos Narrow"/>
      <family val="2"/>
    </font>
    <font>
      <sz val="11"/>
      <color theme="1"/>
      <name val="Helvetica Neue"/>
      <family val="2"/>
    </font>
    <font>
      <sz val="18"/>
      <color rgb="FFFFFFFF"/>
      <name val="Proxima Nova Semibold"/>
      <family val="2"/>
    </font>
    <font>
      <sz val="16"/>
      <color rgb="FFFFFFFF"/>
      <name val="Proxima Nova Semibold"/>
      <family val="2"/>
    </font>
    <font>
      <b/>
      <i/>
      <sz val="12"/>
      <color rgb="FF215C98"/>
      <name val="Aptos Narrow"/>
    </font>
    <font>
      <b/>
      <sz val="16"/>
      <color rgb="FFFFFFFF"/>
      <name val="Proxima Nova Semibold"/>
      <family val="2"/>
    </font>
    <font>
      <b/>
      <sz val="12"/>
      <color rgb="FF002060"/>
      <name val="Aptos Narrow"/>
    </font>
    <font>
      <b/>
      <sz val="12"/>
      <color rgb="FF215C98"/>
      <name val="Aptos Narrow"/>
      <family val="2"/>
    </font>
    <font>
      <b/>
      <sz val="12"/>
      <color rgb="FF7E350E"/>
      <name val="Aptos Narrow"/>
      <family val="2"/>
    </font>
    <font>
      <b/>
      <sz val="12"/>
      <color rgb="FF000000"/>
      <name val="Aptos Narrow (Body)"/>
    </font>
    <font>
      <b/>
      <sz val="14"/>
      <color rgb="FF000000"/>
      <name val="Aptos Narrow"/>
      <family val="2"/>
    </font>
    <font>
      <b/>
      <sz val="14"/>
      <color rgb="FF7E350E"/>
      <name val="Aptos Narrow"/>
      <family val="2"/>
    </font>
    <font>
      <b/>
      <sz val="12"/>
      <color rgb="FF000000"/>
      <name val="Aptos Narrow"/>
      <family val="2"/>
    </font>
    <font>
      <sz val="14"/>
      <color rgb="FF000000"/>
      <name val="Aptos Narrow"/>
      <family val="2"/>
    </font>
    <font>
      <sz val="14"/>
      <color rgb="FF7E350E"/>
      <name val="Aptos Narrow"/>
      <family val="2"/>
    </font>
    <font>
      <sz val="14"/>
      <color rgb="FF000000"/>
      <name val="Avenir Next Regular"/>
    </font>
    <font>
      <b/>
      <sz val="14"/>
      <color rgb="FF000000"/>
      <name val="Avenir Next Regular"/>
    </font>
    <font>
      <sz val="12"/>
      <color rgb="FF000000"/>
      <name val="Avenir Next Regular"/>
    </font>
    <font>
      <b/>
      <sz val="12"/>
      <color rgb="FF000000"/>
      <name val="Avenir Next Regular"/>
    </font>
    <font>
      <sz val="12"/>
      <color rgb="FF09447C"/>
      <name val="Proxima Nova Semibold"/>
      <family val="2"/>
    </font>
    <font>
      <sz val="12"/>
      <color rgb="FF7E350E"/>
      <name val="Proxima Nova Semibold"/>
      <family val="2"/>
    </font>
    <font>
      <sz val="12"/>
      <color rgb="FF09447C"/>
      <name val="Avenir Next Regular"/>
    </font>
    <font>
      <b/>
      <sz val="12"/>
      <color rgb="FF09447C"/>
      <name val="Avenir Next Regular"/>
    </font>
    <font>
      <b/>
      <sz val="14"/>
      <color rgb="FF000000"/>
      <name val="Aptos Narrow"/>
    </font>
    <font>
      <b/>
      <sz val="14"/>
      <color rgb="FF7E350E"/>
      <name val="Aptos Narrow"/>
    </font>
    <font>
      <i/>
      <sz val="14"/>
      <color rgb="FF747474"/>
      <name val="Aptos Narrow"/>
    </font>
    <font>
      <i/>
      <sz val="14"/>
      <color rgb="FF747474"/>
      <name val="Avenir Next Regular"/>
    </font>
    <font>
      <b/>
      <sz val="14"/>
      <color rgb="FF7E350E"/>
      <name val="Avenir Next Regular"/>
    </font>
    <font>
      <b/>
      <sz val="14"/>
      <color rgb="FF275317"/>
      <name val="Avenir Next Regular"/>
    </font>
    <font>
      <b/>
      <i/>
      <sz val="14"/>
      <color rgb="FF747474"/>
      <name val="Avenir Next Regular"/>
    </font>
    <font>
      <b/>
      <sz val="14"/>
      <color rgb="FF747474"/>
      <name val="Aptos Narrow"/>
    </font>
    <font>
      <b/>
      <sz val="14"/>
      <name val="Aptos Narrow"/>
    </font>
    <font>
      <b/>
      <i/>
      <sz val="14"/>
      <name val="Aptos Narrow"/>
    </font>
    <font>
      <b/>
      <i/>
      <sz val="14"/>
      <name val="Avenir Next Regular"/>
    </font>
    <font>
      <b/>
      <i/>
      <sz val="14"/>
      <color rgb="FF000000"/>
      <name val="Aptos Narrow"/>
    </font>
    <font>
      <b/>
      <i/>
      <sz val="14"/>
      <color rgb="FF000000"/>
      <name val="Avenir Next Regular"/>
    </font>
    <font>
      <b/>
      <sz val="14"/>
      <color rgb="FFC00000"/>
      <name val="Aptos Narrow"/>
    </font>
    <font>
      <b/>
      <i/>
      <sz val="14"/>
      <color rgb="FFC00000"/>
      <name val="Aptos Narrow"/>
    </font>
    <font>
      <b/>
      <sz val="14"/>
      <color rgb="FFC00000"/>
      <name val="Avenir Next Regular"/>
    </font>
    <font>
      <sz val="12"/>
      <color rgb="FF275317"/>
      <name val="Aptos Narrow"/>
      <family val="2"/>
    </font>
    <font>
      <b/>
      <sz val="14"/>
      <color rgb="FF275317"/>
      <name val="Aptos Narrow"/>
    </font>
    <font>
      <b/>
      <sz val="14"/>
      <color rgb="FF275317"/>
      <name val="Aptos Narrow"/>
      <family val="2"/>
    </font>
    <font>
      <sz val="14"/>
      <color rgb="FF275317"/>
      <name val="Avenir Next Regular"/>
    </font>
    <font>
      <b/>
      <sz val="12"/>
      <color rgb="FF000000"/>
      <name val="Aptos Narrow"/>
    </font>
    <font>
      <i/>
      <sz val="14"/>
      <color theme="2" tint="-0.499984740745262"/>
      <name val="Avenir Next Regular"/>
    </font>
    <font>
      <b/>
      <sz val="14"/>
      <color rgb="FF215C98"/>
      <name val="Aptos Narrow"/>
      <family val="2"/>
    </font>
    <font>
      <b/>
      <sz val="12"/>
      <color theme="4" tint="-0.499984740745262"/>
      <name val="Aptos Narrow"/>
    </font>
    <font>
      <b/>
      <sz val="11"/>
      <color theme="1"/>
      <name val="Aptos Narrow"/>
    </font>
    <font>
      <b/>
      <i/>
      <sz val="14"/>
      <color theme="2" tint="-0.249977111117893"/>
      <name val="Aptos Narrow"/>
    </font>
    <font>
      <b/>
      <i/>
      <sz val="14"/>
      <color rgb="FFC00000"/>
      <name val="Avenir Next Regular"/>
    </font>
    <font>
      <b/>
      <sz val="16"/>
      <color rgb="FFC00000"/>
      <name val="Aptos Narrow"/>
      <family val="2"/>
    </font>
    <font>
      <sz val="12"/>
      <color theme="1"/>
      <name val="Times New Roman"/>
      <family val="1"/>
    </font>
    <font>
      <sz val="12"/>
      <color theme="9" tint="-0.249977111117893"/>
      <name val="Aptos Narrow"/>
    </font>
    <font>
      <sz val="12"/>
      <color theme="1"/>
      <name val="Aptos Narrow"/>
    </font>
    <font>
      <sz val="12"/>
      <color rgb="FFC00000"/>
      <name val="Aptos Narrow"/>
    </font>
    <font>
      <b/>
      <sz val="14"/>
      <color rgb="FF203764"/>
      <name val="Aptos Narrow"/>
    </font>
    <font>
      <sz val="12"/>
      <color rgb="FF000000"/>
      <name val="Aptos Narrow"/>
    </font>
    <font>
      <b/>
      <sz val="14"/>
      <color rgb="FF215C98"/>
      <name val="Aptos Narrow"/>
    </font>
    <font>
      <sz val="10"/>
      <name val="Calibri"/>
      <family val="2"/>
    </font>
    <font>
      <b/>
      <sz val="12"/>
      <color rgb="FF1A1A6E"/>
      <name val="Calibri"/>
      <family val="2"/>
    </font>
    <font>
      <b/>
      <sz val="12"/>
      <color rgb="FF203764"/>
      <name val="Aptos Narrow"/>
    </font>
    <font>
      <sz val="12"/>
      <color theme="7" tint="-0.249977111117893"/>
      <name val="Aptos Narrow"/>
    </font>
    <font>
      <b/>
      <sz val="12"/>
      <color theme="7" tint="-0.249977111117893"/>
      <name val="Aptos Narrow"/>
    </font>
    <font>
      <b/>
      <sz val="14"/>
      <color theme="1"/>
      <name val="Aptos Narrow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alibri"/>
      <family val="2"/>
    </font>
    <font>
      <sz val="16"/>
      <color theme="1"/>
      <name val="Aptos Narrow"/>
      <family val="2"/>
    </font>
    <font>
      <i/>
      <sz val="14"/>
      <color theme="2" tint="-0.249977111117893"/>
      <name val="Avenir Next Regular"/>
    </font>
    <font>
      <sz val="14"/>
      <color theme="1"/>
      <name val="Aptos Narrow"/>
    </font>
    <font>
      <sz val="14"/>
      <name val="Calibri"/>
      <family val="2"/>
    </font>
    <font>
      <sz val="14"/>
      <color rgb="FFC00000"/>
      <name val="Aptos Narrow"/>
    </font>
    <font>
      <b/>
      <sz val="12"/>
      <name val="Calibri"/>
      <family val="2"/>
    </font>
    <font>
      <b/>
      <sz val="12"/>
      <color theme="1"/>
      <name val="Aptos Narrow"/>
    </font>
    <font>
      <sz val="12"/>
      <name val="Calibri"/>
      <family val="2"/>
    </font>
    <font>
      <b/>
      <sz val="12"/>
      <color theme="1"/>
      <name val="Calibri (Body)"/>
    </font>
    <font>
      <sz val="12"/>
      <name val="Calibri (Body)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5" tint="-0.499984740745262"/>
      <name val="Aptos Narrow"/>
    </font>
    <font>
      <sz val="11"/>
      <color theme="5" tint="-0.499984740745262"/>
      <name val="Calibri"/>
      <family val="2"/>
      <scheme val="minor"/>
    </font>
    <font>
      <b/>
      <sz val="10"/>
      <color theme="5" tint="-0.499984740745262"/>
      <name val="Calibri"/>
      <family val="2"/>
    </font>
    <font>
      <sz val="9"/>
      <color theme="5" tint="-0.499984740745262"/>
      <name val="Calibri"/>
      <family val="2"/>
    </font>
    <font>
      <sz val="10"/>
      <color theme="5" tint="-0.499984740745262"/>
      <name val="Calibri"/>
      <family val="2"/>
    </font>
    <font>
      <b/>
      <sz val="10"/>
      <color rgb="FF1A1A6E"/>
      <name val="Calibri"/>
      <family val="2"/>
    </font>
    <font>
      <sz val="10"/>
      <color rgb="FF000000"/>
      <name val="Aptos Narrow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9"/>
      <color rgb="FF1A1A6E"/>
      <name val="Calibri"/>
      <family val="2"/>
    </font>
    <font>
      <b/>
      <sz val="9"/>
      <color rgb="FF000000"/>
      <name val="Calibri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i/>
      <sz val="10"/>
      <color rgb="FFFFFFFF"/>
      <name val="Arial"/>
      <family val="2"/>
    </font>
    <font>
      <b/>
      <sz val="10"/>
      <color rgb="FF1B2A4A"/>
      <name val="Arial"/>
      <family val="2"/>
    </font>
    <font>
      <sz val="10"/>
      <color rgb="FF666666"/>
      <name val="Arial"/>
      <family val="2"/>
    </font>
    <font>
      <b/>
      <sz val="10"/>
      <color rgb="FF666666"/>
      <name val="Arial"/>
      <family val="2"/>
    </font>
    <font>
      <sz val="10"/>
      <color theme="1"/>
      <name val="Aptos Narrow"/>
      <family val="2"/>
    </font>
    <font>
      <b/>
      <sz val="10"/>
      <color rgb="FFCC0000"/>
      <name val="Arial"/>
      <family val="2"/>
    </font>
    <font>
      <b/>
      <sz val="10"/>
      <color rgb="FF2E5090"/>
      <name val="Arial"/>
      <family val="2"/>
    </font>
    <font>
      <b/>
      <sz val="10"/>
      <color rgb="FF333333"/>
      <name val="Arial"/>
      <family val="2"/>
    </font>
    <font>
      <i/>
      <sz val="10"/>
      <color rgb="FF666666"/>
      <name val="Arial"/>
      <family val="2"/>
    </font>
    <font>
      <b/>
      <sz val="10"/>
      <color rgb="FF000000"/>
      <name val="Aptos Narrow"/>
      <family val="2"/>
    </font>
    <font>
      <sz val="10"/>
      <color rgb="FF275317"/>
      <name val="Aptos Narrow"/>
      <family val="2"/>
    </font>
    <font>
      <b/>
      <sz val="10"/>
      <color rgb="FF6B2D5B"/>
      <name val="Arial"/>
      <family val="2"/>
    </font>
    <font>
      <sz val="10"/>
      <color rgb="FFFF0000"/>
      <name val="Arial"/>
      <family val="2"/>
    </font>
    <font>
      <sz val="10"/>
      <color theme="1"/>
      <name val="Aptos Narrow"/>
    </font>
    <font>
      <b/>
      <sz val="10"/>
      <color rgb="FF2D5F2D"/>
      <name val="Arial"/>
      <family val="2"/>
    </font>
    <font>
      <b/>
      <sz val="10"/>
      <color rgb="FF1A5C5C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A9713A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E8E8E8"/>
        <bgColor rgb="FF000000"/>
      </patternFill>
    </fill>
    <fill>
      <patternFill patternType="solid">
        <fgColor rgb="FFD0F1F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D6E4F0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B2A4A"/>
        <bgColor indexed="64"/>
      </patternFill>
    </fill>
    <fill>
      <patternFill patternType="solid">
        <fgColor rgb="FF2E5090"/>
        <bgColor indexed="64"/>
      </patternFill>
    </fill>
    <fill>
      <patternFill patternType="solid">
        <fgColor rgb="FFE8F0E8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8ECF2"/>
        <bgColor indexed="64"/>
      </patternFill>
    </fill>
    <fill>
      <patternFill patternType="solid">
        <fgColor rgb="FF6B2D5B"/>
        <bgColor indexed="64"/>
      </patternFill>
    </fill>
    <fill>
      <patternFill patternType="solid">
        <fgColor rgb="FFF2E4EF"/>
        <bgColor indexed="64"/>
      </patternFill>
    </fill>
    <fill>
      <patternFill patternType="solid">
        <fgColor rgb="FF2D5F2D"/>
        <bgColor indexed="64"/>
      </patternFill>
    </fill>
    <fill>
      <patternFill patternType="solid">
        <fgColor rgb="FF1A5C5C"/>
        <bgColor indexed="64"/>
      </patternFill>
    </fill>
    <fill>
      <patternFill patternType="solid">
        <fgColor rgb="FFE0F0F0"/>
        <bgColor indexed="64"/>
      </patternFill>
    </fill>
  </fills>
  <borders count="9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9447C"/>
      </left>
      <right/>
      <top style="thin">
        <color rgb="FF09447C"/>
      </top>
      <bottom style="thin">
        <color rgb="FF09447C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rgb="FF09447C"/>
      </right>
      <top style="thin">
        <color rgb="FF09447C"/>
      </top>
      <bottom style="thin">
        <color rgb="FF09447C"/>
      </bottom>
      <diagonal/>
    </border>
    <border>
      <left style="thin">
        <color indexed="64"/>
      </left>
      <right/>
      <top/>
      <bottom/>
      <diagonal/>
    </border>
    <border>
      <left style="thin">
        <color rgb="FF09447C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9447C"/>
      </left>
      <right style="thin">
        <color rgb="FF09447C"/>
      </right>
      <top style="thin">
        <color rgb="FF09447C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1B2A4A"/>
      </bottom>
      <diagonal/>
    </border>
    <border>
      <left/>
      <right/>
      <top/>
      <bottom style="thin">
        <color rgb="FF1B2A4A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1B2A4A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/>
      <top style="medium">
        <color rgb="FF1B2A4A"/>
      </top>
      <bottom/>
      <diagonal/>
    </border>
    <border>
      <left/>
      <right/>
      <top style="medium">
        <color rgb="FF1B2A4A"/>
      </top>
      <bottom style="double">
        <color rgb="FF1B2A4A"/>
      </bottom>
      <diagonal/>
    </border>
    <border>
      <left/>
      <right/>
      <top style="double">
        <color rgb="FF1B2A4A"/>
      </top>
      <bottom style="thin">
        <color rgb="FFCCCCCC"/>
      </bottom>
      <diagonal/>
    </border>
    <border>
      <left/>
      <right/>
      <top style="medium">
        <color rgb="FF1B2A4A"/>
      </top>
      <bottom style="thin">
        <color rgb="FFCCCCCC"/>
      </bottom>
      <diagonal/>
    </border>
    <border>
      <left/>
      <right/>
      <top/>
      <bottom style="thin">
        <color rgb="FF6B2D5B"/>
      </bottom>
      <diagonal/>
    </border>
    <border>
      <left/>
      <right/>
      <top style="thin">
        <color rgb="FF1B2A4A"/>
      </top>
      <bottom style="thin">
        <color rgb="FF6B2D5B"/>
      </bottom>
      <diagonal/>
    </border>
    <border>
      <left/>
      <right/>
      <top style="medium">
        <color rgb="FF6B2D5B"/>
      </top>
      <bottom style="thin">
        <color rgb="FFE0E0E0"/>
      </bottom>
      <diagonal/>
    </border>
    <border>
      <left/>
      <right/>
      <top/>
      <bottom style="medium">
        <color rgb="FF2D5F2D"/>
      </bottom>
      <diagonal/>
    </border>
    <border>
      <left/>
      <right/>
      <top style="medium">
        <color rgb="FF2D5F2D"/>
      </top>
      <bottom style="double">
        <color rgb="FF2D5F2D"/>
      </bottom>
      <diagonal/>
    </border>
  </borders>
  <cellStyleXfs count="10">
    <xf numFmtId="0" fontId="0" fillId="0" borderId="71"/>
    <xf numFmtId="164" fontId="2" fillId="0" borderId="71"/>
    <xf numFmtId="0" fontId="3" fillId="0" borderId="71"/>
    <xf numFmtId="0" fontId="11" fillId="0" borderId="71"/>
    <xf numFmtId="0" fontId="10" fillId="0" borderId="71"/>
    <xf numFmtId="43" fontId="11" fillId="0" borderId="71"/>
    <xf numFmtId="9" fontId="11" fillId="0" borderId="71"/>
    <xf numFmtId="9" fontId="2" fillId="0" borderId="71"/>
    <xf numFmtId="0" fontId="16" fillId="0" borderId="71"/>
    <xf numFmtId="0" fontId="36" fillId="0" borderId="71">
      <alignment vertical="center"/>
    </xf>
  </cellStyleXfs>
  <cellXfs count="804">
    <xf numFmtId="0" fontId="0" fillId="0" borderId="0" xfId="0" applyBorder="1"/>
    <xf numFmtId="164" fontId="0" fillId="0" borderId="0" xfId="1" applyFont="1" applyBorder="1"/>
    <xf numFmtId="17" fontId="0" fillId="0" borderId="0" xfId="0" applyNumberFormat="1" applyBorder="1"/>
    <xf numFmtId="0" fontId="5" fillId="0" borderId="0" xfId="0" applyFont="1" applyBorder="1"/>
    <xf numFmtId="0" fontId="6" fillId="0" borderId="0" xfId="0" applyFont="1" applyBorder="1"/>
    <xf numFmtId="0" fontId="7" fillId="0" borderId="0" xfId="0" applyFont="1" applyBorder="1"/>
    <xf numFmtId="0" fontId="7" fillId="2" borderId="0" xfId="0" applyFont="1" applyFill="1" applyBorder="1"/>
    <xf numFmtId="0" fontId="6" fillId="0" borderId="0" xfId="0" applyFont="1" applyBorder="1" applyAlignment="1">
      <alignment wrapText="1"/>
    </xf>
    <xf numFmtId="43" fontId="6" fillId="0" borderId="2" xfId="0" applyNumberFormat="1" applyFont="1" applyBorder="1"/>
    <xf numFmtId="0" fontId="6" fillId="3" borderId="0" xfId="0" applyFont="1" applyFill="1" applyBorder="1"/>
    <xf numFmtId="0" fontId="6" fillId="0" borderId="5" xfId="0" applyFont="1" applyBorder="1"/>
    <xf numFmtId="43" fontId="6" fillId="0" borderId="5" xfId="0" applyNumberFormat="1" applyFont="1" applyBorder="1"/>
    <xf numFmtId="0" fontId="7" fillId="2" borderId="7" xfId="0" applyFont="1" applyFill="1" applyBorder="1" applyAlignment="1">
      <alignment wrapText="1"/>
    </xf>
    <xf numFmtId="0" fontId="6" fillId="0" borderId="9" xfId="0" applyFont="1" applyBorder="1" applyAlignment="1">
      <alignment wrapText="1"/>
    </xf>
    <xf numFmtId="0" fontId="6" fillId="3" borderId="9" xfId="0" applyFont="1" applyFill="1" applyBorder="1" applyAlignment="1">
      <alignment wrapText="1"/>
    </xf>
    <xf numFmtId="0" fontId="7" fillId="0" borderId="12" xfId="0" applyFont="1" applyBorder="1" applyAlignment="1">
      <alignment wrapText="1"/>
    </xf>
    <xf numFmtId="0" fontId="7" fillId="0" borderId="14" xfId="0" applyFont="1" applyBorder="1"/>
    <xf numFmtId="0" fontId="7" fillId="2" borderId="15" xfId="0" applyFont="1" applyFill="1" applyBorder="1" applyAlignment="1">
      <alignment wrapText="1"/>
    </xf>
    <xf numFmtId="0" fontId="7" fillId="2" borderId="17" xfId="0" applyFont="1" applyFill="1" applyBorder="1"/>
    <xf numFmtId="0" fontId="6" fillId="0" borderId="18" xfId="0" applyFont="1" applyBorder="1" applyAlignment="1">
      <alignment wrapText="1"/>
    </xf>
    <xf numFmtId="0" fontId="6" fillId="0" borderId="19" xfId="0" applyFont="1" applyBorder="1"/>
    <xf numFmtId="0" fontId="7" fillId="2" borderId="4" xfId="0" applyFont="1" applyFill="1" applyBorder="1"/>
    <xf numFmtId="0" fontId="7" fillId="2" borderId="10" xfId="0" applyFont="1" applyFill="1" applyBorder="1" applyAlignment="1">
      <alignment wrapText="1"/>
    </xf>
    <xf numFmtId="43" fontId="7" fillId="2" borderId="11" xfId="0" applyNumberFormat="1" applyFont="1" applyFill="1" applyBorder="1"/>
    <xf numFmtId="43" fontId="7" fillId="2" borderId="6" xfId="0" applyNumberFormat="1" applyFont="1" applyFill="1" applyBorder="1"/>
    <xf numFmtId="0" fontId="6" fillId="0" borderId="20" xfId="0" applyFont="1" applyBorder="1" applyAlignment="1">
      <alignment wrapText="1"/>
    </xf>
    <xf numFmtId="0" fontId="6" fillId="0" borderId="21" xfId="0" applyFont="1" applyBorder="1"/>
    <xf numFmtId="0" fontId="6" fillId="0" borderId="22" xfId="0" applyFont="1" applyBorder="1"/>
    <xf numFmtId="0" fontId="6" fillId="0" borderId="23" xfId="0" applyFont="1" applyBorder="1" applyAlignment="1">
      <alignment wrapText="1"/>
    </xf>
    <xf numFmtId="43" fontId="6" fillId="0" borderId="24" xfId="0" applyNumberFormat="1" applyFont="1" applyBorder="1"/>
    <xf numFmtId="164" fontId="7" fillId="2" borderId="11" xfId="0" applyNumberFormat="1" applyFont="1" applyFill="1" applyBorder="1"/>
    <xf numFmtId="164" fontId="7" fillId="2" borderId="6" xfId="0" applyNumberFormat="1" applyFont="1" applyFill="1" applyBorder="1"/>
    <xf numFmtId="0" fontId="7" fillId="0" borderId="23" xfId="0" applyFont="1" applyBorder="1" applyAlignment="1">
      <alignment wrapText="1"/>
    </xf>
    <xf numFmtId="164" fontId="7" fillId="0" borderId="25" xfId="0" applyNumberFormat="1" applyFont="1" applyBorder="1"/>
    <xf numFmtId="0" fontId="8" fillId="0" borderId="0" xfId="0" applyFont="1" applyBorder="1" applyAlignment="1">
      <alignment horizontal="center" wrapText="1"/>
    </xf>
    <xf numFmtId="164" fontId="6" fillId="0" borderId="19" xfId="0" applyNumberFormat="1" applyFont="1" applyBorder="1"/>
    <xf numFmtId="0" fontId="6" fillId="4" borderId="0" xfId="0" applyFont="1" applyFill="1" applyBorder="1"/>
    <xf numFmtId="165" fontId="9" fillId="0" borderId="0" xfId="5" applyNumberFormat="1" applyFont="1" applyBorder="1" applyAlignment="1">
      <alignment horizontal="left" vertical="top"/>
    </xf>
    <xf numFmtId="0" fontId="7" fillId="0" borderId="1" xfId="0" applyFont="1" applyBorder="1"/>
    <xf numFmtId="43" fontId="6" fillId="0" borderId="27" xfId="0" applyNumberFormat="1" applyFont="1" applyBorder="1"/>
    <xf numFmtId="0" fontId="7" fillId="2" borderId="28" xfId="0" applyFont="1" applyFill="1" applyBorder="1"/>
    <xf numFmtId="164" fontId="7" fillId="0" borderId="29" xfId="0" applyNumberFormat="1" applyFont="1" applyBorder="1"/>
    <xf numFmtId="0" fontId="4" fillId="0" borderId="0" xfId="0" applyFont="1" applyBorder="1"/>
    <xf numFmtId="0" fontId="4" fillId="0" borderId="0" xfId="0" applyFont="1" applyBorder="1" applyAlignment="1">
      <alignment horizontal="center"/>
    </xf>
    <xf numFmtId="164" fontId="0" fillId="0" borderId="0" xfId="0" applyNumberFormat="1" applyBorder="1"/>
    <xf numFmtId="164" fontId="13" fillId="0" borderId="0" xfId="0" applyNumberFormat="1" applyFont="1" applyBorder="1"/>
    <xf numFmtId="9" fontId="0" fillId="0" borderId="0" xfId="7" applyFont="1" applyBorder="1"/>
    <xf numFmtId="0" fontId="15" fillId="2" borderId="8" xfId="0" applyFont="1" applyFill="1" applyBorder="1"/>
    <xf numFmtId="43" fontId="15" fillId="2" borderId="11" xfId="0" applyNumberFormat="1" applyFont="1" applyFill="1" applyBorder="1"/>
    <xf numFmtId="0" fontId="14" fillId="0" borderId="21" xfId="0" applyFont="1" applyBorder="1"/>
    <xf numFmtId="164" fontId="14" fillId="3" borderId="2" xfId="0" applyNumberFormat="1" applyFont="1" applyFill="1" applyBorder="1"/>
    <xf numFmtId="164" fontId="15" fillId="2" borderId="11" xfId="0" applyNumberFormat="1" applyFont="1" applyFill="1" applyBorder="1"/>
    <xf numFmtId="164" fontId="15" fillId="0" borderId="24" xfId="0" applyNumberFormat="1" applyFont="1" applyBorder="1"/>
    <xf numFmtId="164" fontId="6" fillId="0" borderId="0" xfId="1" applyFont="1" applyBorder="1"/>
    <xf numFmtId="0" fontId="7" fillId="2" borderId="33" xfId="0" applyFont="1" applyFill="1" applyBorder="1" applyAlignment="1">
      <alignment wrapText="1"/>
    </xf>
    <xf numFmtId="0" fontId="6" fillId="0" borderId="34" xfId="0" applyFont="1" applyBorder="1" applyAlignment="1">
      <alignment wrapText="1"/>
    </xf>
    <xf numFmtId="0" fontId="6" fillId="3" borderId="31" xfId="0" applyFont="1" applyFill="1" applyBorder="1" applyAlignment="1">
      <alignment wrapText="1"/>
    </xf>
    <xf numFmtId="0" fontId="7" fillId="0" borderId="35" xfId="0" applyFont="1" applyBorder="1" applyAlignment="1">
      <alignment wrapText="1"/>
    </xf>
    <xf numFmtId="164" fontId="14" fillId="3" borderId="31" xfId="1" applyFont="1" applyFill="1" applyBorder="1" applyAlignment="1">
      <alignment wrapText="1"/>
    </xf>
    <xf numFmtId="0" fontId="7" fillId="3" borderId="30" xfId="0" applyFont="1" applyFill="1" applyBorder="1" applyAlignment="1">
      <alignment wrapText="1"/>
    </xf>
    <xf numFmtId="0" fontId="7" fillId="3" borderId="13" xfId="0" applyFont="1" applyFill="1" applyBorder="1"/>
    <xf numFmtId="43" fontId="14" fillId="3" borderId="2" xfId="0" applyNumberFormat="1" applyFont="1" applyFill="1" applyBorder="1"/>
    <xf numFmtId="0" fontId="6" fillId="3" borderId="32" xfId="0" applyFont="1" applyFill="1" applyBorder="1" applyAlignment="1">
      <alignment wrapText="1"/>
    </xf>
    <xf numFmtId="43" fontId="14" fillId="3" borderId="3" xfId="0" applyNumberFormat="1" applyFont="1" applyFill="1" applyBorder="1"/>
    <xf numFmtId="0" fontId="14" fillId="3" borderId="2" xfId="0" applyFont="1" applyFill="1" applyBorder="1"/>
    <xf numFmtId="43" fontId="14" fillId="3" borderId="24" xfId="0" applyNumberFormat="1" applyFont="1" applyFill="1" applyBorder="1"/>
    <xf numFmtId="0" fontId="4" fillId="0" borderId="0" xfId="0" applyFont="1" applyBorder="1" applyAlignment="1">
      <alignment horizontal="center" wrapText="1"/>
    </xf>
    <xf numFmtId="0" fontId="6" fillId="5" borderId="9" xfId="0" applyFont="1" applyFill="1" applyBorder="1" applyAlignment="1">
      <alignment wrapText="1"/>
    </xf>
    <xf numFmtId="17" fontId="7" fillId="2" borderId="26" xfId="0" applyNumberFormat="1" applyFont="1" applyFill="1" applyBorder="1" applyAlignment="1">
      <alignment horizontal="left"/>
    </xf>
    <xf numFmtId="0" fontId="4" fillId="6" borderId="3" xfId="0" applyFont="1" applyFill="1" applyBorder="1"/>
    <xf numFmtId="0" fontId="4" fillId="6" borderId="21" xfId="0" applyFont="1" applyFill="1" applyBorder="1"/>
    <xf numFmtId="164" fontId="0" fillId="6" borderId="21" xfId="1" applyFont="1" applyFill="1" applyBorder="1"/>
    <xf numFmtId="164" fontId="0" fillId="6" borderId="21" xfId="0" applyNumberFormat="1" applyFill="1" applyBorder="1"/>
    <xf numFmtId="0" fontId="7" fillId="2" borderId="0" xfId="0" applyFont="1" applyFill="1" applyBorder="1" applyAlignment="1">
      <alignment horizontal="center" vertical="center"/>
    </xf>
    <xf numFmtId="0" fontId="0" fillId="6" borderId="0" xfId="0" applyFill="1" applyBorder="1"/>
    <xf numFmtId="164" fontId="6" fillId="0" borderId="0" xfId="0" applyNumberFormat="1" applyFont="1" applyBorder="1"/>
    <xf numFmtId="43" fontId="6" fillId="0" borderId="36" xfId="0" applyNumberFormat="1" applyFont="1" applyBorder="1"/>
    <xf numFmtId="164" fontId="6" fillId="0" borderId="1" xfId="0" applyNumberFormat="1" applyFont="1" applyBorder="1"/>
    <xf numFmtId="0" fontId="6" fillId="7" borderId="9" xfId="0" applyFont="1" applyFill="1" applyBorder="1" applyAlignment="1">
      <alignment wrapText="1"/>
    </xf>
    <xf numFmtId="43" fontId="6" fillId="7" borderId="2" xfId="0" applyNumberFormat="1" applyFont="1" applyFill="1" applyBorder="1"/>
    <xf numFmtId="0" fontId="8" fillId="0" borderId="0" xfId="0" applyFont="1" applyBorder="1" applyAlignment="1">
      <alignment horizontal="center"/>
    </xf>
    <xf numFmtId="0" fontId="8" fillId="0" borderId="0" xfId="0" applyFont="1" applyBorder="1" applyAlignment="1">
      <alignment horizontal="center" vertical="center" wrapText="1"/>
    </xf>
    <xf numFmtId="0" fontId="6" fillId="0" borderId="0" xfId="0" applyFont="1" applyBorder="1" applyAlignment="1">
      <alignment vertical="center"/>
    </xf>
    <xf numFmtId="0" fontId="6" fillId="0" borderId="0" xfId="0" applyFont="1" applyBorder="1" applyAlignment="1">
      <alignment vertical="center" wrapText="1"/>
    </xf>
    <xf numFmtId="0" fontId="6" fillId="4" borderId="0" xfId="0" applyFont="1" applyFill="1" applyBorder="1" applyAlignment="1">
      <alignment vertical="center"/>
    </xf>
    <xf numFmtId="0" fontId="7" fillId="2" borderId="15" xfId="0" applyFont="1" applyFill="1" applyBorder="1" applyAlignment="1">
      <alignment vertical="center" wrapText="1"/>
    </xf>
    <xf numFmtId="0" fontId="7" fillId="2" borderId="16" xfId="0" applyFont="1" applyFill="1" applyBorder="1" applyAlignment="1">
      <alignment vertical="center"/>
    </xf>
    <xf numFmtId="17" fontId="7" fillId="2" borderId="26" xfId="0" applyNumberFormat="1" applyFont="1" applyFill="1" applyBorder="1" applyAlignment="1">
      <alignment horizontal="left" vertical="center"/>
    </xf>
    <xf numFmtId="0" fontId="7" fillId="2" borderId="0" xfId="0" applyFont="1" applyFill="1" applyBorder="1" applyAlignment="1">
      <alignment vertical="center"/>
    </xf>
    <xf numFmtId="0" fontId="7" fillId="0" borderId="12" xfId="0" applyFont="1" applyBorder="1" applyAlignment="1">
      <alignment vertical="center" wrapText="1"/>
    </xf>
    <xf numFmtId="0" fontId="7" fillId="3" borderId="30" xfId="0" applyFont="1" applyFill="1" applyBorder="1" applyAlignment="1">
      <alignment vertical="center" wrapText="1"/>
    </xf>
    <xf numFmtId="0" fontId="7" fillId="3" borderId="13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6" fillId="0" borderId="9" xfId="0" applyFont="1" applyBorder="1" applyAlignment="1">
      <alignment vertical="center" wrapText="1"/>
    </xf>
    <xf numFmtId="43" fontId="14" fillId="3" borderId="2" xfId="0" applyNumberFormat="1" applyFont="1" applyFill="1" applyBorder="1" applyAlignment="1">
      <alignment vertical="center"/>
    </xf>
    <xf numFmtId="43" fontId="6" fillId="0" borderId="2" xfId="0" applyNumberFormat="1" applyFont="1" applyBorder="1" applyAlignment="1">
      <alignment vertical="center"/>
    </xf>
    <xf numFmtId="0" fontId="6" fillId="0" borderId="18" xfId="0" applyFont="1" applyBorder="1" applyAlignment="1">
      <alignment vertical="center" wrapText="1"/>
    </xf>
    <xf numFmtId="0" fontId="6" fillId="3" borderId="32" xfId="0" applyFont="1" applyFill="1" applyBorder="1" applyAlignment="1">
      <alignment vertical="center" wrapText="1"/>
    </xf>
    <xf numFmtId="43" fontId="14" fillId="3" borderId="3" xfId="0" applyNumberFormat="1" applyFont="1" applyFill="1" applyBorder="1" applyAlignment="1">
      <alignment vertical="center"/>
    </xf>
    <xf numFmtId="43" fontId="6" fillId="0" borderId="27" xfId="0" applyNumberFormat="1" applyFont="1" applyBorder="1" applyAlignment="1">
      <alignment vertical="center"/>
    </xf>
    <xf numFmtId="0" fontId="7" fillId="2" borderId="7" xfId="0" applyFont="1" applyFill="1" applyBorder="1" applyAlignment="1">
      <alignment vertical="center" wrapText="1"/>
    </xf>
    <xf numFmtId="0" fontId="7" fillId="2" borderId="33" xfId="0" applyFont="1" applyFill="1" applyBorder="1" applyAlignment="1">
      <alignment vertical="center" wrapText="1"/>
    </xf>
    <xf numFmtId="0" fontId="15" fillId="2" borderId="8" xfId="0" applyFont="1" applyFill="1" applyBorder="1" applyAlignment="1">
      <alignment vertical="center"/>
    </xf>
    <xf numFmtId="0" fontId="7" fillId="2" borderId="28" xfId="0" applyFont="1" applyFill="1" applyBorder="1" applyAlignment="1">
      <alignment vertical="center"/>
    </xf>
    <xf numFmtId="43" fontId="6" fillId="0" borderId="36" xfId="0" applyNumberFormat="1" applyFont="1" applyBorder="1" applyAlignment="1">
      <alignment vertical="center"/>
    </xf>
    <xf numFmtId="0" fontId="6" fillId="3" borderId="31" xfId="0" applyFont="1" applyFill="1" applyBorder="1" applyAlignment="1">
      <alignment vertical="center" wrapText="1"/>
    </xf>
    <xf numFmtId="43" fontId="6" fillId="7" borderId="2" xfId="0" applyNumberFormat="1" applyFont="1" applyFill="1" applyBorder="1" applyAlignment="1">
      <alignment vertical="center"/>
    </xf>
    <xf numFmtId="164" fontId="6" fillId="0" borderId="0" xfId="1" applyFont="1" applyBorder="1" applyAlignment="1">
      <alignment vertical="center"/>
    </xf>
    <xf numFmtId="0" fontId="6" fillId="7" borderId="9" xfId="0" applyFont="1" applyFill="1" applyBorder="1" applyAlignment="1">
      <alignment vertical="center" wrapText="1"/>
    </xf>
    <xf numFmtId="0" fontId="6" fillId="5" borderId="9" xfId="0" applyFont="1" applyFill="1" applyBorder="1" applyAlignment="1">
      <alignment vertical="center" wrapText="1"/>
    </xf>
    <xf numFmtId="0" fontId="14" fillId="3" borderId="2" xfId="0" applyFont="1" applyFill="1" applyBorder="1" applyAlignment="1">
      <alignment vertical="center"/>
    </xf>
    <xf numFmtId="0" fontId="7" fillId="2" borderId="10" xfId="0" applyFont="1" applyFill="1" applyBorder="1" applyAlignment="1">
      <alignment vertical="center" wrapText="1"/>
    </xf>
    <xf numFmtId="43" fontId="15" fillId="2" borderId="11" xfId="0" applyNumberFormat="1" applyFont="1" applyFill="1" applyBorder="1" applyAlignment="1">
      <alignment vertical="center"/>
    </xf>
    <xf numFmtId="43" fontId="7" fillId="2" borderId="11" xfId="0" applyNumberFormat="1" applyFont="1" applyFill="1" applyBorder="1" applyAlignment="1">
      <alignment vertical="center"/>
    </xf>
    <xf numFmtId="0" fontId="6" fillId="0" borderId="20" xfId="0" applyFont="1" applyBorder="1" applyAlignment="1">
      <alignment vertical="center" wrapText="1"/>
    </xf>
    <xf numFmtId="0" fontId="6" fillId="0" borderId="34" xfId="0" applyFont="1" applyBorder="1" applyAlignment="1">
      <alignment vertical="center" wrapText="1"/>
    </xf>
    <xf numFmtId="0" fontId="14" fillId="0" borderId="21" xfId="0" applyFont="1" applyBorder="1" applyAlignment="1">
      <alignment vertical="center"/>
    </xf>
    <xf numFmtId="0" fontId="6" fillId="0" borderId="21" xfId="0" applyFont="1" applyBorder="1" applyAlignment="1">
      <alignment vertical="center"/>
    </xf>
    <xf numFmtId="164" fontId="14" fillId="3" borderId="31" xfId="1" applyFont="1" applyFill="1" applyBorder="1" applyAlignment="1">
      <alignment vertical="center" wrapText="1"/>
    </xf>
    <xf numFmtId="164" fontId="14" fillId="3" borderId="2" xfId="0" applyNumberFormat="1" applyFont="1" applyFill="1" applyBorder="1" applyAlignment="1">
      <alignment vertical="center"/>
    </xf>
    <xf numFmtId="0" fontId="6" fillId="3" borderId="0" xfId="0" applyFont="1" applyFill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64" fontId="6" fillId="0" borderId="0" xfId="0" applyNumberFormat="1" applyFont="1" applyBorder="1" applyAlignment="1">
      <alignment vertical="center"/>
    </xf>
    <xf numFmtId="164" fontId="15" fillId="2" borderId="11" xfId="0" applyNumberFormat="1" applyFont="1" applyFill="1" applyBorder="1" applyAlignment="1">
      <alignment vertical="center"/>
    </xf>
    <xf numFmtId="164" fontId="7" fillId="2" borderId="11" xfId="0" applyNumberFormat="1" applyFont="1" applyFill="1" applyBorder="1" applyAlignment="1">
      <alignment vertical="center"/>
    </xf>
    <xf numFmtId="0" fontId="7" fillId="0" borderId="23" xfId="0" applyFont="1" applyBorder="1" applyAlignment="1">
      <alignment vertical="center" wrapText="1"/>
    </xf>
    <xf numFmtId="0" fontId="7" fillId="0" borderId="35" xfId="0" applyFont="1" applyBorder="1" applyAlignment="1">
      <alignment vertical="center" wrapText="1"/>
    </xf>
    <xf numFmtId="164" fontId="15" fillId="0" borderId="24" xfId="0" applyNumberFormat="1" applyFont="1" applyBorder="1" applyAlignment="1">
      <alignment vertical="center"/>
    </xf>
    <xf numFmtId="164" fontId="7" fillId="0" borderId="29" xfId="0" applyNumberFormat="1" applyFont="1" applyBorder="1" applyAlignment="1">
      <alignment vertical="center"/>
    </xf>
    <xf numFmtId="0" fontId="6" fillId="0" borderId="23" xfId="0" applyFont="1" applyBorder="1" applyAlignment="1">
      <alignment vertical="center" wrapText="1"/>
    </xf>
    <xf numFmtId="43" fontId="14" fillId="3" borderId="24" xfId="0" applyNumberFormat="1" applyFont="1" applyFill="1" applyBorder="1" applyAlignment="1">
      <alignment vertical="center"/>
    </xf>
    <xf numFmtId="43" fontId="6" fillId="0" borderId="24" xfId="0" applyNumberFormat="1" applyFont="1" applyBorder="1" applyAlignment="1">
      <alignment vertical="center"/>
    </xf>
    <xf numFmtId="0" fontId="5" fillId="0" borderId="0" xfId="0" applyFont="1" applyBorder="1" applyAlignment="1">
      <alignment vertical="center"/>
    </xf>
    <xf numFmtId="165" fontId="9" fillId="0" borderId="0" xfId="5" applyNumberFormat="1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 indent="1"/>
    </xf>
    <xf numFmtId="0" fontId="6" fillId="0" borderId="9" xfId="0" applyFont="1" applyBorder="1" applyAlignment="1">
      <alignment horizontal="left" vertical="center"/>
    </xf>
    <xf numFmtId="0" fontId="6" fillId="0" borderId="9" xfId="0" applyFont="1" applyBorder="1" applyAlignment="1">
      <alignment vertical="center"/>
    </xf>
    <xf numFmtId="0" fontId="6" fillId="3" borderId="9" xfId="0" applyFont="1" applyFill="1" applyBorder="1" applyAlignment="1">
      <alignment vertical="center"/>
    </xf>
    <xf numFmtId="0" fontId="7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vertical="center"/>
    </xf>
    <xf numFmtId="0" fontId="18" fillId="0" borderId="0" xfId="0" applyFont="1" applyBorder="1" applyAlignment="1">
      <alignment vertical="center"/>
    </xf>
    <xf numFmtId="0" fontId="19" fillId="0" borderId="0" xfId="0" applyFont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8" fillId="0" borderId="0" xfId="0" applyFont="1" applyBorder="1" applyAlignment="1">
      <alignment horizontal="left" vertical="center" indent="1"/>
    </xf>
    <xf numFmtId="0" fontId="1" fillId="0" borderId="0" xfId="0" applyFont="1" applyBorder="1" applyAlignment="1">
      <alignment horizontal="left" vertical="center" indent="1"/>
    </xf>
    <xf numFmtId="165" fontId="20" fillId="0" borderId="0" xfId="5" applyNumberFormat="1" applyFont="1" applyBorder="1" applyAlignment="1">
      <alignment horizontal="left" vertical="center" indent="1"/>
    </xf>
    <xf numFmtId="0" fontId="6" fillId="0" borderId="0" xfId="0" applyFont="1" applyBorder="1" applyAlignment="1">
      <alignment horizontal="left" vertical="center" indent="1"/>
    </xf>
    <xf numFmtId="0" fontId="22" fillId="8" borderId="0" xfId="0" applyFont="1" applyFill="1" applyBorder="1" applyAlignment="1">
      <alignment horizontal="left" vertical="center" indent="1"/>
    </xf>
    <xf numFmtId="0" fontId="19" fillId="8" borderId="0" xfId="0" applyFont="1" applyFill="1" applyBorder="1" applyAlignment="1">
      <alignment vertical="center"/>
    </xf>
    <xf numFmtId="0" fontId="23" fillId="8" borderId="0" xfId="0" applyFont="1" applyFill="1" applyBorder="1" applyAlignment="1">
      <alignment vertical="center"/>
    </xf>
    <xf numFmtId="17" fontId="23" fillId="8" borderId="0" xfId="0" applyNumberFormat="1" applyFont="1" applyFill="1" applyBorder="1" applyAlignment="1">
      <alignment horizontal="center" vertical="center"/>
    </xf>
    <xf numFmtId="0" fontId="23" fillId="8" borderId="0" xfId="0" applyFont="1" applyFill="1" applyBorder="1" applyAlignment="1">
      <alignment horizontal="center" vertical="center"/>
    </xf>
    <xf numFmtId="0" fontId="7" fillId="8" borderId="0" xfId="0" applyFont="1" applyFill="1" applyBorder="1" applyAlignment="1">
      <alignment vertical="center"/>
    </xf>
    <xf numFmtId="0" fontId="21" fillId="8" borderId="0" xfId="0" applyFont="1" applyFill="1" applyBorder="1" applyAlignment="1">
      <alignment horizontal="center" vertical="center"/>
    </xf>
    <xf numFmtId="0" fontId="26" fillId="8" borderId="0" xfId="0" applyFont="1" applyFill="1" applyBorder="1" applyAlignment="1">
      <alignment vertical="center"/>
    </xf>
    <xf numFmtId="165" fontId="26" fillId="8" borderId="15" xfId="0" applyNumberFormat="1" applyFont="1" applyFill="1" applyBorder="1" applyAlignment="1">
      <alignment vertical="center"/>
    </xf>
    <xf numFmtId="165" fontId="26" fillId="8" borderId="16" xfId="0" applyNumberFormat="1" applyFont="1" applyFill="1" applyBorder="1" applyAlignment="1">
      <alignment vertical="center"/>
    </xf>
    <xf numFmtId="165" fontId="26" fillId="8" borderId="26" xfId="0" applyNumberFormat="1" applyFont="1" applyFill="1" applyBorder="1" applyAlignment="1">
      <alignment vertical="center"/>
    </xf>
    <xf numFmtId="165" fontId="26" fillId="8" borderId="37" xfId="0" applyNumberFormat="1" applyFont="1" applyFill="1" applyBorder="1" applyAlignment="1">
      <alignment vertical="center"/>
    </xf>
    <xf numFmtId="0" fontId="24" fillId="8" borderId="0" xfId="0" applyFont="1" applyFill="1" applyBorder="1" applyAlignment="1">
      <alignment horizontal="center" vertical="center"/>
    </xf>
    <xf numFmtId="165" fontId="19" fillId="8" borderId="12" xfId="0" applyNumberFormat="1" applyFont="1" applyFill="1" applyBorder="1" applyAlignment="1">
      <alignment vertical="center"/>
    </xf>
    <xf numFmtId="165" fontId="19" fillId="8" borderId="13" xfId="0" applyNumberFormat="1" applyFont="1" applyFill="1" applyBorder="1" applyAlignment="1">
      <alignment vertical="center"/>
    </xf>
    <xf numFmtId="165" fontId="19" fillId="8" borderId="38" xfId="0" applyNumberFormat="1" applyFont="1" applyFill="1" applyBorder="1" applyAlignment="1">
      <alignment vertical="center"/>
    </xf>
    <xf numFmtId="165" fontId="26" fillId="8" borderId="14" xfId="0" applyNumberFormat="1" applyFont="1" applyFill="1" applyBorder="1" applyAlignment="1">
      <alignment vertical="center"/>
    </xf>
    <xf numFmtId="165" fontId="19" fillId="8" borderId="0" xfId="0" applyNumberFormat="1" applyFont="1" applyFill="1" applyBorder="1" applyAlignment="1">
      <alignment vertical="center"/>
    </xf>
    <xf numFmtId="165" fontId="19" fillId="8" borderId="9" xfId="0" applyNumberFormat="1" applyFont="1" applyFill="1" applyBorder="1" applyAlignment="1">
      <alignment vertical="center"/>
    </xf>
    <xf numFmtId="165" fontId="19" fillId="8" borderId="2" xfId="0" applyNumberFormat="1" applyFont="1" applyFill="1" applyBorder="1" applyAlignment="1">
      <alignment vertical="center"/>
    </xf>
    <xf numFmtId="165" fontId="19" fillId="8" borderId="39" xfId="0" applyNumberFormat="1" applyFont="1" applyFill="1" applyBorder="1" applyAlignment="1">
      <alignment vertical="center"/>
    </xf>
    <xf numFmtId="165" fontId="26" fillId="8" borderId="5" xfId="0" applyNumberFormat="1" applyFont="1" applyFill="1" applyBorder="1" applyAlignment="1">
      <alignment vertical="center"/>
    </xf>
    <xf numFmtId="0" fontId="25" fillId="8" borderId="0" xfId="0" applyFont="1" applyFill="1" applyBorder="1" applyAlignment="1">
      <alignment horizontal="center" vertical="center"/>
    </xf>
    <xf numFmtId="165" fontId="19" fillId="8" borderId="10" xfId="0" applyNumberFormat="1" applyFont="1" applyFill="1" applyBorder="1" applyAlignment="1">
      <alignment vertical="center"/>
    </xf>
    <xf numFmtId="165" fontId="19" fillId="8" borderId="11" xfId="0" applyNumberFormat="1" applyFont="1" applyFill="1" applyBorder="1" applyAlignment="1">
      <alignment vertical="center"/>
    </xf>
    <xf numFmtId="165" fontId="19" fillId="8" borderId="40" xfId="0" applyNumberFormat="1" applyFont="1" applyFill="1" applyBorder="1" applyAlignment="1">
      <alignment vertical="center"/>
    </xf>
    <xf numFmtId="165" fontId="26" fillId="8" borderId="6" xfId="0" applyNumberFormat="1" applyFont="1" applyFill="1" applyBorder="1" applyAlignment="1">
      <alignment vertical="center"/>
    </xf>
    <xf numFmtId="0" fontId="19" fillId="8" borderId="41" xfId="0" applyFont="1" applyFill="1" applyBorder="1" applyAlignment="1">
      <alignment horizontal="left" vertical="center" indent="1"/>
    </xf>
    <xf numFmtId="0" fontId="19" fillId="8" borderId="42" xfId="0" applyFont="1" applyFill="1" applyBorder="1" applyAlignment="1">
      <alignment vertical="center"/>
    </xf>
    <xf numFmtId="0" fontId="19" fillId="8" borderId="43" xfId="0" applyFont="1" applyFill="1" applyBorder="1" applyAlignment="1">
      <alignment horizontal="left" vertical="center" indent="1"/>
    </xf>
    <xf numFmtId="0" fontId="19" fillId="8" borderId="44" xfId="0" applyFont="1" applyFill="1" applyBorder="1" applyAlignment="1">
      <alignment vertical="center"/>
    </xf>
    <xf numFmtId="0" fontId="19" fillId="8" borderId="45" xfId="0" applyFont="1" applyFill="1" applyBorder="1" applyAlignment="1">
      <alignment horizontal="left" vertical="center" indent="1"/>
    </xf>
    <xf numFmtId="0" fontId="19" fillId="8" borderId="46" xfId="0" applyFont="1" applyFill="1" applyBorder="1" applyAlignment="1">
      <alignment vertical="center"/>
    </xf>
    <xf numFmtId="0" fontId="19" fillId="8" borderId="47" xfId="0" applyFont="1" applyFill="1" applyBorder="1" applyAlignment="1">
      <alignment horizontal="left" vertical="center" indent="1"/>
    </xf>
    <xf numFmtId="0" fontId="19" fillId="8" borderId="48" xfId="0" applyFont="1" applyFill="1" applyBorder="1" applyAlignment="1">
      <alignment vertical="center"/>
    </xf>
    <xf numFmtId="0" fontId="6" fillId="8" borderId="0" xfId="0" applyFont="1" applyFill="1" applyBorder="1" applyAlignment="1">
      <alignment vertical="center"/>
    </xf>
    <xf numFmtId="0" fontId="27" fillId="0" borderId="0" xfId="0" applyFont="1" applyBorder="1" applyAlignment="1">
      <alignment vertical="center"/>
    </xf>
    <xf numFmtId="0" fontId="28" fillId="8" borderId="0" xfId="0" applyFont="1" applyFill="1" applyBorder="1" applyAlignment="1">
      <alignment vertical="center"/>
    </xf>
    <xf numFmtId="0" fontId="29" fillId="8" borderId="0" xfId="0" applyFont="1" applyFill="1" applyBorder="1" applyAlignment="1">
      <alignment vertical="center"/>
    </xf>
    <xf numFmtId="0" fontId="19" fillId="8" borderId="51" xfId="0" applyFont="1" applyFill="1" applyBorder="1" applyAlignment="1">
      <alignment horizontal="left" vertical="center" indent="1"/>
    </xf>
    <xf numFmtId="0" fontId="19" fillId="8" borderId="52" xfId="0" applyFont="1" applyFill="1" applyBorder="1" applyAlignment="1">
      <alignment vertical="center"/>
    </xf>
    <xf numFmtId="0" fontId="26" fillId="6" borderId="49" xfId="0" applyFont="1" applyFill="1" applyBorder="1" applyAlignment="1">
      <alignment horizontal="left" vertical="center" indent="1"/>
    </xf>
    <xf numFmtId="0" fontId="26" fillId="6" borderId="50" xfId="0" applyFont="1" applyFill="1" applyBorder="1" applyAlignment="1">
      <alignment vertical="center"/>
    </xf>
    <xf numFmtId="0" fontId="30" fillId="8" borderId="0" xfId="0" applyFont="1" applyFill="1" applyBorder="1" applyAlignment="1">
      <alignment horizontal="center" vertical="center"/>
    </xf>
    <xf numFmtId="165" fontId="31" fillId="8" borderId="15" xfId="0" applyNumberFormat="1" applyFont="1" applyFill="1" applyBorder="1" applyAlignment="1">
      <alignment vertical="center"/>
    </xf>
    <xf numFmtId="165" fontId="31" fillId="8" borderId="16" xfId="0" applyNumberFormat="1" applyFont="1" applyFill="1" applyBorder="1" applyAlignment="1">
      <alignment vertical="center"/>
    </xf>
    <xf numFmtId="165" fontId="31" fillId="8" borderId="26" xfId="0" applyNumberFormat="1" applyFont="1" applyFill="1" applyBorder="1" applyAlignment="1">
      <alignment vertical="center"/>
    </xf>
    <xf numFmtId="165" fontId="31" fillId="8" borderId="37" xfId="0" applyNumberFormat="1" applyFont="1" applyFill="1" applyBorder="1" applyAlignment="1">
      <alignment vertical="center"/>
    </xf>
    <xf numFmtId="165" fontId="19" fillId="8" borderId="18" xfId="0" applyNumberFormat="1" applyFont="1" applyFill="1" applyBorder="1" applyAlignment="1">
      <alignment vertical="center"/>
    </xf>
    <xf numFmtId="165" fontId="19" fillId="8" borderId="3" xfId="0" applyNumberFormat="1" applyFont="1" applyFill="1" applyBorder="1" applyAlignment="1">
      <alignment vertical="center"/>
    </xf>
    <xf numFmtId="0" fontId="32" fillId="8" borderId="0" xfId="0" applyFont="1" applyFill="1" applyBorder="1" applyAlignment="1">
      <alignment horizontal="left" vertical="center" indent="1"/>
    </xf>
    <xf numFmtId="0" fontId="33" fillId="8" borderId="0" xfId="0" applyFont="1" applyFill="1" applyBorder="1" applyAlignment="1">
      <alignment horizontal="left" vertical="center" indent="1"/>
    </xf>
    <xf numFmtId="165" fontId="35" fillId="0" borderId="0" xfId="1" applyNumberFormat="1" applyFont="1" applyBorder="1" applyAlignment="1">
      <alignment wrapText="1"/>
    </xf>
    <xf numFmtId="165" fontId="48" fillId="0" borderId="41" xfId="1" applyNumberFormat="1" applyFont="1" applyBorder="1" applyAlignment="1">
      <alignment wrapText="1"/>
    </xf>
    <xf numFmtId="165" fontId="54" fillId="12" borderId="49" xfId="1" applyNumberFormat="1" applyFont="1" applyFill="1" applyBorder="1" applyAlignment="1">
      <alignment horizontal="center" vertical="center" wrapText="1"/>
    </xf>
    <xf numFmtId="165" fontId="56" fillId="12" borderId="53" xfId="1" applyNumberFormat="1" applyFont="1" applyFill="1" applyBorder="1" applyAlignment="1">
      <alignment horizontal="center" vertical="center" wrapText="1"/>
    </xf>
    <xf numFmtId="165" fontId="58" fillId="0" borderId="47" xfId="1" applyNumberFormat="1" applyFont="1" applyBorder="1" applyAlignment="1">
      <alignment wrapText="1"/>
    </xf>
    <xf numFmtId="165" fontId="50" fillId="0" borderId="0" xfId="1" applyNumberFormat="1" applyFont="1" applyBorder="1" applyAlignment="1">
      <alignment wrapText="1"/>
    </xf>
    <xf numFmtId="165" fontId="50" fillId="0" borderId="42" xfId="1" applyNumberFormat="1" applyFont="1" applyBorder="1" applyAlignment="1">
      <alignment wrapText="1"/>
    </xf>
    <xf numFmtId="165" fontId="58" fillId="0" borderId="41" xfId="1" applyNumberFormat="1" applyFont="1" applyBorder="1" applyAlignment="1">
      <alignment wrapText="1"/>
    </xf>
    <xf numFmtId="165" fontId="50" fillId="0" borderId="53" xfId="1" applyNumberFormat="1" applyFont="1" applyBorder="1" applyAlignment="1">
      <alignment wrapText="1"/>
    </xf>
    <xf numFmtId="165" fontId="48" fillId="0" borderId="0" xfId="1" applyNumberFormat="1" applyFont="1" applyBorder="1" applyAlignment="1">
      <alignment wrapText="1"/>
    </xf>
    <xf numFmtId="165" fontId="60" fillId="0" borderId="41" xfId="1" applyNumberFormat="1" applyFont="1" applyBorder="1" applyAlignment="1">
      <alignment wrapText="1"/>
    </xf>
    <xf numFmtId="165" fontId="61" fillId="0" borderId="0" xfId="1" applyNumberFormat="1" applyFont="1" applyBorder="1" applyAlignment="1">
      <alignment wrapText="1"/>
    </xf>
    <xf numFmtId="165" fontId="45" fillId="13" borderId="45" xfId="1" applyNumberFormat="1" applyFont="1" applyFill="1" applyBorder="1" applyAlignment="1">
      <alignment wrapText="1"/>
    </xf>
    <xf numFmtId="165" fontId="51" fillId="13" borderId="52" xfId="1" applyNumberFormat="1" applyFont="1" applyFill="1" applyBorder="1" applyAlignment="1">
      <alignment wrapText="1"/>
    </xf>
    <xf numFmtId="165" fontId="51" fillId="13" borderId="29" xfId="1" applyNumberFormat="1" applyFont="1" applyFill="1" applyBorder="1" applyAlignment="1">
      <alignment wrapText="1"/>
    </xf>
    <xf numFmtId="165" fontId="51" fillId="13" borderId="46" xfId="1" applyNumberFormat="1" applyFont="1" applyFill="1" applyBorder="1" applyAlignment="1">
      <alignment wrapText="1"/>
    </xf>
    <xf numFmtId="165" fontId="59" fillId="0" borderId="41" xfId="1" applyNumberFormat="1" applyFont="1" applyBorder="1" applyAlignment="1">
      <alignment wrapText="1"/>
    </xf>
    <xf numFmtId="165" fontId="50" fillId="0" borderId="58" xfId="1" applyNumberFormat="1" applyFont="1" applyBorder="1" applyAlignment="1">
      <alignment wrapText="1"/>
    </xf>
    <xf numFmtId="165" fontId="50" fillId="0" borderId="57" xfId="1" applyNumberFormat="1" applyFont="1" applyBorder="1" applyAlignment="1">
      <alignment wrapText="1"/>
    </xf>
    <xf numFmtId="165" fontId="50" fillId="0" borderId="56" xfId="1" applyNumberFormat="1" applyFont="1" applyBorder="1" applyAlignment="1">
      <alignment wrapText="1"/>
    </xf>
    <xf numFmtId="165" fontId="59" fillId="0" borderId="47" xfId="1" applyNumberFormat="1" applyFont="1" applyBorder="1" applyAlignment="1">
      <alignment wrapText="1"/>
    </xf>
    <xf numFmtId="165" fontId="59" fillId="0" borderId="43" xfId="1" applyNumberFormat="1" applyFont="1" applyBorder="1" applyAlignment="1">
      <alignment wrapText="1"/>
    </xf>
    <xf numFmtId="165" fontId="62" fillId="0" borderId="0" xfId="1" applyNumberFormat="1" applyFont="1" applyBorder="1" applyAlignment="1">
      <alignment wrapText="1"/>
    </xf>
    <xf numFmtId="165" fontId="62" fillId="0" borderId="44" xfId="1" applyNumberFormat="1" applyFont="1" applyBorder="1" applyAlignment="1">
      <alignment wrapText="1"/>
    </xf>
    <xf numFmtId="165" fontId="60" fillId="0" borderId="39" xfId="1" applyNumberFormat="1" applyFont="1" applyBorder="1" applyAlignment="1">
      <alignment wrapText="1"/>
    </xf>
    <xf numFmtId="165" fontId="61" fillId="13" borderId="27" xfId="1" applyNumberFormat="1" applyFont="1" applyFill="1" applyBorder="1" applyAlignment="1">
      <alignment wrapText="1"/>
    </xf>
    <xf numFmtId="165" fontId="63" fillId="13" borderId="0" xfId="1" applyNumberFormat="1" applyFont="1" applyFill="1" applyBorder="1" applyAlignment="1">
      <alignment wrapText="1"/>
    </xf>
    <xf numFmtId="165" fontId="62" fillId="13" borderId="0" xfId="1" applyNumberFormat="1" applyFont="1" applyFill="1" applyBorder="1" applyAlignment="1">
      <alignment wrapText="1"/>
    </xf>
    <xf numFmtId="165" fontId="45" fillId="13" borderId="51" xfId="1" applyNumberFormat="1" applyFont="1" applyFill="1" applyBorder="1" applyAlignment="1">
      <alignment wrapText="1"/>
    </xf>
    <xf numFmtId="165" fontId="51" fillId="0" borderId="29" xfId="1" applyNumberFormat="1" applyFont="1" applyBorder="1" applyAlignment="1">
      <alignment wrapText="1"/>
    </xf>
    <xf numFmtId="165" fontId="50" fillId="0" borderId="52" xfId="1" applyNumberFormat="1" applyFont="1" applyBorder="1" applyAlignment="1">
      <alignment wrapText="1"/>
    </xf>
    <xf numFmtId="165" fontId="51" fillId="0" borderId="50" xfId="1" applyNumberFormat="1" applyFont="1" applyBorder="1" applyAlignment="1">
      <alignment wrapText="1"/>
    </xf>
    <xf numFmtId="165" fontId="45" fillId="0" borderId="0" xfId="1" applyNumberFormat="1" applyFont="1" applyBorder="1" applyAlignment="1">
      <alignment wrapText="1"/>
    </xf>
    <xf numFmtId="165" fontId="51" fillId="0" borderId="0" xfId="1" applyNumberFormat="1" applyFont="1" applyBorder="1" applyAlignment="1">
      <alignment wrapText="1"/>
    </xf>
    <xf numFmtId="165" fontId="54" fillId="12" borderId="37" xfId="1" applyNumberFormat="1" applyFont="1" applyFill="1" applyBorder="1" applyAlignment="1">
      <alignment horizontal="center" vertical="center" wrapText="1"/>
    </xf>
    <xf numFmtId="165" fontId="56" fillId="12" borderId="49" xfId="1" applyNumberFormat="1" applyFont="1" applyFill="1" applyBorder="1" applyAlignment="1">
      <alignment horizontal="center" vertical="center" wrapText="1"/>
    </xf>
    <xf numFmtId="165" fontId="56" fillId="12" borderId="50" xfId="1" applyNumberFormat="1" applyFont="1" applyFill="1" applyBorder="1" applyAlignment="1">
      <alignment horizontal="center" vertical="center" wrapText="1"/>
    </xf>
    <xf numFmtId="165" fontId="61" fillId="0" borderId="57" xfId="1" applyNumberFormat="1" applyFont="1" applyBorder="1" applyAlignment="1">
      <alignment wrapText="1"/>
    </xf>
    <xf numFmtId="165" fontId="61" fillId="0" borderId="56" xfId="1" applyNumberFormat="1" applyFont="1" applyBorder="1" applyAlignment="1">
      <alignment wrapText="1"/>
    </xf>
    <xf numFmtId="165" fontId="68" fillId="13" borderId="49" xfId="1" applyNumberFormat="1" applyFont="1" applyFill="1" applyBorder="1" applyAlignment="1">
      <alignment wrapText="1"/>
    </xf>
    <xf numFmtId="165" fontId="68" fillId="13" borderId="50" xfId="1" applyNumberFormat="1" applyFont="1" applyFill="1" applyBorder="1" applyAlignment="1">
      <alignment wrapText="1"/>
    </xf>
    <xf numFmtId="165" fontId="70" fillId="0" borderId="0" xfId="1" applyNumberFormat="1" applyFont="1" applyBorder="1" applyAlignment="1">
      <alignment wrapText="1"/>
    </xf>
    <xf numFmtId="165" fontId="61" fillId="0" borderId="44" xfId="1" applyNumberFormat="1" applyFont="1" applyBorder="1" applyAlignment="1">
      <alignment wrapText="1"/>
    </xf>
    <xf numFmtId="165" fontId="73" fillId="0" borderId="51" xfId="1" applyNumberFormat="1" applyFont="1" applyBorder="1" applyAlignment="1">
      <alignment wrapText="1"/>
    </xf>
    <xf numFmtId="165" fontId="73" fillId="0" borderId="29" xfId="1" applyNumberFormat="1" applyFont="1" applyBorder="1" applyAlignment="1">
      <alignment wrapText="1"/>
    </xf>
    <xf numFmtId="165" fontId="73" fillId="0" borderId="49" xfId="1" applyNumberFormat="1" applyFont="1" applyBorder="1" applyAlignment="1">
      <alignment wrapText="1"/>
    </xf>
    <xf numFmtId="165" fontId="70" fillId="0" borderId="44" xfId="1" applyNumberFormat="1" applyFont="1" applyBorder="1" applyAlignment="1">
      <alignment wrapText="1"/>
    </xf>
    <xf numFmtId="165" fontId="50" fillId="0" borderId="29" xfId="1" applyNumberFormat="1" applyFont="1" applyBorder="1" applyAlignment="1">
      <alignment wrapText="1"/>
    </xf>
    <xf numFmtId="165" fontId="63" fillId="0" borderId="49" xfId="1" applyNumberFormat="1" applyFont="1" applyBorder="1" applyAlignment="1">
      <alignment wrapText="1"/>
    </xf>
    <xf numFmtId="165" fontId="77" fillId="0" borderId="49" xfId="1" applyNumberFormat="1" applyFont="1" applyBorder="1" applyAlignment="1">
      <alignment wrapText="1"/>
    </xf>
    <xf numFmtId="165" fontId="77" fillId="0" borderId="37" xfId="1" applyNumberFormat="1" applyFont="1" applyBorder="1" applyAlignment="1">
      <alignment wrapText="1"/>
    </xf>
    <xf numFmtId="165" fontId="17" fillId="0" borderId="53" xfId="1" applyNumberFormat="1" applyFont="1" applyBorder="1" applyAlignment="1">
      <alignment wrapText="1"/>
    </xf>
    <xf numFmtId="43" fontId="14" fillId="15" borderId="2" xfId="0" applyNumberFormat="1" applyFont="1" applyFill="1" applyBorder="1" applyAlignment="1">
      <alignment vertical="center"/>
    </xf>
    <xf numFmtId="43" fontId="14" fillId="16" borderId="2" xfId="0" applyNumberFormat="1" applyFont="1" applyFill="1" applyBorder="1" applyAlignment="1">
      <alignment vertical="center"/>
    </xf>
    <xf numFmtId="43" fontId="6" fillId="0" borderId="39" xfId="0" applyNumberFormat="1" applyFont="1" applyBorder="1" applyAlignment="1">
      <alignment vertical="center"/>
    </xf>
    <xf numFmtId="43" fontId="6" fillId="7" borderId="39" xfId="0" applyNumberFormat="1" applyFont="1" applyFill="1" applyBorder="1" applyAlignment="1">
      <alignment vertical="center"/>
    </xf>
    <xf numFmtId="43" fontId="14" fillId="3" borderId="39" xfId="0" applyNumberFormat="1" applyFont="1" applyFill="1" applyBorder="1" applyAlignment="1">
      <alignment vertical="center"/>
    </xf>
    <xf numFmtId="43" fontId="7" fillId="2" borderId="40" xfId="0" applyNumberFormat="1" applyFont="1" applyFill="1" applyBorder="1" applyAlignment="1">
      <alignment vertical="center"/>
    </xf>
    <xf numFmtId="164" fontId="7" fillId="2" borderId="40" xfId="0" applyNumberFormat="1" applyFont="1" applyFill="1" applyBorder="1" applyAlignment="1">
      <alignment vertical="center"/>
    </xf>
    <xf numFmtId="43" fontId="6" fillId="0" borderId="59" xfId="0" applyNumberFormat="1" applyFont="1" applyBorder="1" applyAlignment="1">
      <alignment vertical="center"/>
    </xf>
    <xf numFmtId="0" fontId="7" fillId="2" borderId="50" xfId="0" applyFont="1" applyFill="1" applyBorder="1" applyAlignment="1">
      <alignment vertical="center"/>
    </xf>
    <xf numFmtId="0" fontId="7" fillId="0" borderId="48" xfId="0" applyFont="1" applyBorder="1" applyAlignment="1">
      <alignment vertical="center"/>
    </xf>
    <xf numFmtId="0" fontId="6" fillId="0" borderId="42" xfId="0" applyFont="1" applyBorder="1" applyAlignment="1">
      <alignment vertical="center"/>
    </xf>
    <xf numFmtId="0" fontId="6" fillId="0" borderId="60" xfId="0" applyFont="1" applyBorder="1" applyAlignment="1">
      <alignment vertical="center"/>
    </xf>
    <xf numFmtId="0" fontId="7" fillId="2" borderId="61" xfId="0" applyFont="1" applyFill="1" applyBorder="1" applyAlignment="1">
      <alignment vertical="center"/>
    </xf>
    <xf numFmtId="43" fontId="6" fillId="0" borderId="42" xfId="0" applyNumberFormat="1" applyFont="1" applyBorder="1" applyAlignment="1">
      <alignment vertical="center"/>
    </xf>
    <xf numFmtId="43" fontId="7" fillId="2" borderId="46" xfId="0" applyNumberFormat="1" applyFont="1" applyFill="1" applyBorder="1" applyAlignment="1">
      <alignment vertical="center"/>
    </xf>
    <xf numFmtId="0" fontId="6" fillId="0" borderId="44" xfId="0" applyFont="1" applyBorder="1" applyAlignment="1">
      <alignment vertical="center"/>
    </xf>
    <xf numFmtId="164" fontId="6" fillId="0" borderId="60" xfId="0" applyNumberFormat="1" applyFont="1" applyBorder="1" applyAlignment="1">
      <alignment vertical="center"/>
    </xf>
    <xf numFmtId="164" fontId="7" fillId="2" borderId="46" xfId="0" applyNumberFormat="1" applyFont="1" applyFill="1" applyBorder="1" applyAlignment="1">
      <alignment vertical="center"/>
    </xf>
    <xf numFmtId="164" fontId="7" fillId="0" borderId="52" xfId="0" applyNumberFormat="1" applyFont="1" applyBorder="1" applyAlignment="1">
      <alignment vertical="center"/>
    </xf>
    <xf numFmtId="43" fontId="6" fillId="0" borderId="35" xfId="0" applyNumberFormat="1" applyFont="1" applyBorder="1" applyAlignment="1">
      <alignment vertical="center"/>
    </xf>
    <xf numFmtId="17" fontId="7" fillId="17" borderId="58" xfId="0" applyNumberFormat="1" applyFont="1" applyFill="1" applyBorder="1" applyAlignment="1">
      <alignment horizontal="left" vertical="center" wrapText="1"/>
    </xf>
    <xf numFmtId="17" fontId="7" fillId="17" borderId="26" xfId="0" applyNumberFormat="1" applyFont="1" applyFill="1" applyBorder="1" applyAlignment="1">
      <alignment horizontal="left" vertical="center" wrapText="1"/>
    </xf>
    <xf numFmtId="17" fontId="7" fillId="17" borderId="17" xfId="0" applyNumberFormat="1" applyFont="1" applyFill="1" applyBorder="1" applyAlignment="1">
      <alignment horizontal="left" vertical="center" wrapText="1"/>
    </xf>
    <xf numFmtId="0" fontId="7" fillId="17" borderId="2" xfId="0" applyFont="1" applyFill="1" applyBorder="1" applyAlignment="1">
      <alignment vertical="center"/>
    </xf>
    <xf numFmtId="0" fontId="7" fillId="17" borderId="1" xfId="0" applyFont="1" applyFill="1" applyBorder="1" applyAlignment="1">
      <alignment vertical="center"/>
    </xf>
    <xf numFmtId="0" fontId="7" fillId="17" borderId="48" xfId="0" applyFont="1" applyFill="1" applyBorder="1" applyAlignment="1">
      <alignment vertical="center"/>
    </xf>
    <xf numFmtId="43" fontId="6" fillId="17" borderId="2" xfId="0" applyNumberFormat="1" applyFont="1" applyFill="1" applyBorder="1" applyAlignment="1">
      <alignment vertical="center"/>
    </xf>
    <xf numFmtId="43" fontId="6" fillId="17" borderId="36" xfId="0" applyNumberFormat="1" applyFont="1" applyFill="1" applyBorder="1" applyAlignment="1">
      <alignment vertical="center"/>
    </xf>
    <xf numFmtId="43" fontId="6" fillId="17" borderId="42" xfId="0" applyNumberFormat="1" applyFont="1" applyFill="1" applyBorder="1" applyAlignment="1">
      <alignment vertical="center"/>
    </xf>
    <xf numFmtId="43" fontId="6" fillId="17" borderId="11" xfId="0" applyNumberFormat="1" applyFont="1" applyFill="1" applyBorder="1" applyAlignment="1">
      <alignment vertical="center"/>
    </xf>
    <xf numFmtId="43" fontId="6" fillId="17" borderId="27" xfId="0" applyNumberFormat="1" applyFont="1" applyFill="1" applyBorder="1" applyAlignment="1">
      <alignment vertical="center"/>
    </xf>
    <xf numFmtId="43" fontId="6" fillId="17" borderId="60" xfId="0" applyNumberFormat="1" applyFont="1" applyFill="1" applyBorder="1" applyAlignment="1">
      <alignment vertical="center"/>
    </xf>
    <xf numFmtId="0" fontId="7" fillId="17" borderId="13" xfId="0" applyFont="1" applyFill="1" applyBorder="1" applyAlignment="1">
      <alignment vertical="center"/>
    </xf>
    <xf numFmtId="0" fontId="7" fillId="17" borderId="28" xfId="0" applyFont="1" applyFill="1" applyBorder="1" applyAlignment="1">
      <alignment vertical="center"/>
    </xf>
    <xf numFmtId="0" fontId="7" fillId="17" borderId="61" xfId="0" applyFont="1" applyFill="1" applyBorder="1" applyAlignment="1">
      <alignment vertical="center"/>
    </xf>
    <xf numFmtId="43" fontId="7" fillId="17" borderId="11" xfId="0" applyNumberFormat="1" applyFont="1" applyFill="1" applyBorder="1" applyAlignment="1">
      <alignment vertical="center"/>
    </xf>
    <xf numFmtId="43" fontId="7" fillId="17" borderId="63" xfId="0" applyNumberFormat="1" applyFont="1" applyFill="1" applyBorder="1" applyAlignment="1">
      <alignment vertical="center"/>
    </xf>
    <xf numFmtId="43" fontId="7" fillId="17" borderId="46" xfId="0" applyNumberFormat="1" applyFont="1" applyFill="1" applyBorder="1" applyAlignment="1">
      <alignment vertical="center"/>
    </xf>
    <xf numFmtId="0" fontId="6" fillId="17" borderId="13" xfId="0" applyFont="1" applyFill="1" applyBorder="1" applyAlignment="1">
      <alignment vertical="center"/>
    </xf>
    <xf numFmtId="0" fontId="6" fillId="17" borderId="0" xfId="0" applyFont="1" applyFill="1" applyBorder="1" applyAlignment="1">
      <alignment vertical="center"/>
    </xf>
    <xf numFmtId="0" fontId="6" fillId="17" borderId="44" xfId="0" applyFont="1" applyFill="1" applyBorder="1" applyAlignment="1">
      <alignment vertical="center"/>
    </xf>
    <xf numFmtId="43" fontId="14" fillId="17" borderId="60" xfId="0" applyNumberFormat="1" applyFont="1" applyFill="1" applyBorder="1" applyAlignment="1">
      <alignment vertical="center"/>
    </xf>
    <xf numFmtId="164" fontId="6" fillId="17" borderId="2" xfId="0" applyNumberFormat="1" applyFont="1" applyFill="1" applyBorder="1" applyAlignment="1">
      <alignment vertical="center"/>
    </xf>
    <xf numFmtId="164" fontId="6" fillId="17" borderId="44" xfId="0" applyNumberFormat="1" applyFont="1" applyFill="1" applyBorder="1" applyAlignment="1">
      <alignment vertical="center"/>
    </xf>
    <xf numFmtId="164" fontId="7" fillId="17" borderId="2" xfId="0" applyNumberFormat="1" applyFont="1" applyFill="1" applyBorder="1" applyAlignment="1">
      <alignment vertical="center"/>
    </xf>
    <xf numFmtId="164" fontId="7" fillId="17" borderId="46" xfId="0" applyNumberFormat="1" applyFont="1" applyFill="1" applyBorder="1" applyAlignment="1">
      <alignment vertical="center"/>
    </xf>
    <xf numFmtId="164" fontId="7" fillId="17" borderId="29" xfId="0" applyNumberFormat="1" applyFont="1" applyFill="1" applyBorder="1" applyAlignment="1">
      <alignment vertical="center"/>
    </xf>
    <xf numFmtId="164" fontId="7" fillId="17" borderId="52" xfId="0" applyNumberFormat="1" applyFont="1" applyFill="1" applyBorder="1" applyAlignment="1">
      <alignment vertical="center"/>
    </xf>
    <xf numFmtId="43" fontId="6" fillId="17" borderId="62" xfId="0" applyNumberFormat="1" applyFont="1" applyFill="1" applyBorder="1" applyAlignment="1">
      <alignment vertical="center"/>
    </xf>
    <xf numFmtId="0" fontId="6" fillId="16" borderId="0" xfId="0" applyFont="1" applyFill="1" applyBorder="1" applyAlignment="1">
      <alignment vertical="center"/>
    </xf>
    <xf numFmtId="165" fontId="50" fillId="0" borderId="2" xfId="1" applyNumberFormat="1" applyFont="1" applyBorder="1" applyAlignment="1">
      <alignment wrapText="1"/>
    </xf>
    <xf numFmtId="165" fontId="62" fillId="0" borderId="2" xfId="1" applyNumberFormat="1" applyFont="1" applyBorder="1" applyAlignment="1">
      <alignment wrapText="1"/>
    </xf>
    <xf numFmtId="0" fontId="12" fillId="0" borderId="0" xfId="0" applyFont="1" applyBorder="1" applyAlignment="1">
      <alignment horizontal="center"/>
    </xf>
    <xf numFmtId="165" fontId="56" fillId="12" borderId="2" xfId="1" applyNumberFormat="1" applyFont="1" applyFill="1" applyBorder="1" applyAlignment="1">
      <alignment horizontal="center" vertical="center" wrapText="1"/>
    </xf>
    <xf numFmtId="165" fontId="17" fillId="0" borderId="2" xfId="1" applyNumberFormat="1" applyFont="1" applyBorder="1" applyAlignment="1">
      <alignment wrapText="1"/>
    </xf>
    <xf numFmtId="165" fontId="63" fillId="13" borderId="2" xfId="1" applyNumberFormat="1" applyFont="1" applyFill="1" applyBorder="1" applyAlignment="1">
      <alignment wrapText="1"/>
    </xf>
    <xf numFmtId="165" fontId="61" fillId="0" borderId="2" xfId="1" applyNumberFormat="1" applyFont="1" applyBorder="1" applyAlignment="1">
      <alignment wrapText="1"/>
    </xf>
    <xf numFmtId="165" fontId="51" fillId="0" borderId="2" xfId="1" applyNumberFormat="1" applyFont="1" applyBorder="1" applyAlignment="1">
      <alignment wrapText="1"/>
    </xf>
    <xf numFmtId="165" fontId="61" fillId="14" borderId="2" xfId="1" applyNumberFormat="1" applyFont="1" applyFill="1" applyBorder="1" applyAlignment="1">
      <alignment wrapText="1"/>
    </xf>
    <xf numFmtId="165" fontId="68" fillId="13" borderId="2" xfId="1" applyNumberFormat="1" applyFont="1" applyFill="1" applyBorder="1" applyAlignment="1">
      <alignment wrapText="1"/>
    </xf>
    <xf numFmtId="165" fontId="70" fillId="0" borderId="2" xfId="1" applyNumberFormat="1" applyFont="1" applyBorder="1" applyAlignment="1">
      <alignment wrapText="1"/>
    </xf>
    <xf numFmtId="165" fontId="73" fillId="0" borderId="2" xfId="1" applyNumberFormat="1" applyFont="1" applyBorder="1" applyAlignment="1">
      <alignment wrapText="1"/>
    </xf>
    <xf numFmtId="165" fontId="50" fillId="0" borderId="9" xfId="1" applyNumberFormat="1" applyFont="1" applyBorder="1" applyAlignment="1">
      <alignment wrapText="1"/>
    </xf>
    <xf numFmtId="165" fontId="62" fillId="0" borderId="9" xfId="1" applyNumberFormat="1" applyFont="1" applyBorder="1" applyAlignment="1">
      <alignment wrapText="1"/>
    </xf>
    <xf numFmtId="165" fontId="35" fillId="0" borderId="9" xfId="1" applyNumberFormat="1" applyFont="1" applyBorder="1"/>
    <xf numFmtId="165" fontId="58" fillId="20" borderId="47" xfId="1" applyNumberFormat="1" applyFont="1" applyFill="1" applyBorder="1" applyAlignment="1">
      <alignment wrapText="1"/>
    </xf>
    <xf numFmtId="165" fontId="17" fillId="0" borderId="13" xfId="1" applyNumberFormat="1" applyFont="1" applyBorder="1" applyAlignment="1">
      <alignment wrapText="1"/>
    </xf>
    <xf numFmtId="165" fontId="50" fillId="0" borderId="48" xfId="1" applyNumberFormat="1" applyFont="1" applyBorder="1" applyAlignment="1">
      <alignment wrapText="1"/>
    </xf>
    <xf numFmtId="165" fontId="17" fillId="0" borderId="16" xfId="1" applyNumberFormat="1" applyFont="1" applyBorder="1" applyAlignment="1">
      <alignment wrapText="1"/>
    </xf>
    <xf numFmtId="165" fontId="50" fillId="0" borderId="50" xfId="1" applyNumberFormat="1" applyFont="1" applyBorder="1" applyAlignment="1">
      <alignment wrapText="1"/>
    </xf>
    <xf numFmtId="165" fontId="35" fillId="0" borderId="53" xfId="1" applyNumberFormat="1" applyFont="1" applyBorder="1"/>
    <xf numFmtId="165" fontId="17" fillId="0" borderId="29" xfId="1" applyNumberFormat="1" applyFont="1" applyBorder="1" applyAlignment="1">
      <alignment wrapText="1"/>
    </xf>
    <xf numFmtId="165" fontId="58" fillId="20" borderId="49" xfId="1" applyNumberFormat="1" applyFont="1" applyFill="1" applyBorder="1" applyAlignment="1">
      <alignment wrapText="1"/>
    </xf>
    <xf numFmtId="0" fontId="37" fillId="9" borderId="65" xfId="9" applyFont="1" applyFill="1" applyBorder="1" applyAlignment="1">
      <alignment horizontal="left" vertical="center" wrapText="1"/>
    </xf>
    <xf numFmtId="9" fontId="40" fillId="9" borderId="65" xfId="9" applyNumberFormat="1" applyFont="1" applyFill="1" applyBorder="1" applyAlignment="1">
      <alignment horizontal="center" vertical="center" wrapText="1"/>
    </xf>
    <xf numFmtId="165" fontId="48" fillId="0" borderId="49" xfId="1" applyNumberFormat="1" applyFont="1" applyBorder="1" applyAlignment="1">
      <alignment wrapText="1"/>
    </xf>
    <xf numFmtId="165" fontId="65" fillId="0" borderId="66" xfId="1" applyNumberFormat="1" applyFont="1" applyBorder="1" applyAlignment="1">
      <alignment wrapText="1"/>
    </xf>
    <xf numFmtId="165" fontId="65" fillId="0" borderId="55" xfId="1" applyNumberFormat="1" applyFont="1" applyBorder="1" applyAlignment="1">
      <alignment wrapText="1"/>
    </xf>
    <xf numFmtId="165" fontId="66" fillId="13" borderId="49" xfId="1" applyNumberFormat="1" applyFont="1" applyFill="1" applyBorder="1" applyAlignment="1">
      <alignment wrapText="1"/>
    </xf>
    <xf numFmtId="165" fontId="58" fillId="0" borderId="43" xfId="1" applyNumberFormat="1" applyFont="1" applyBorder="1" applyAlignment="1">
      <alignment wrapText="1"/>
    </xf>
    <xf numFmtId="165" fontId="71" fillId="0" borderId="45" xfId="1" applyNumberFormat="1" applyFont="1" applyBorder="1" applyAlignment="1">
      <alignment wrapText="1"/>
    </xf>
    <xf numFmtId="165" fontId="58" fillId="0" borderId="55" xfId="1" applyNumberFormat="1" applyFont="1" applyBorder="1" applyAlignment="1">
      <alignment wrapText="1"/>
    </xf>
    <xf numFmtId="165" fontId="58" fillId="0" borderId="45" xfId="1" applyNumberFormat="1" applyFont="1" applyBorder="1" applyAlignment="1">
      <alignment wrapText="1"/>
    </xf>
    <xf numFmtId="165" fontId="75" fillId="0" borderId="45" xfId="1" applyNumberFormat="1" applyFont="1" applyBorder="1" applyAlignment="1">
      <alignment wrapText="1"/>
    </xf>
    <xf numFmtId="165" fontId="68" fillId="13" borderId="53" xfId="1" applyNumberFormat="1" applyFont="1" applyFill="1" applyBorder="1" applyAlignment="1">
      <alignment wrapText="1"/>
    </xf>
    <xf numFmtId="165" fontId="73" fillId="0" borderId="53" xfId="1" applyNumberFormat="1" applyFont="1" applyBorder="1" applyAlignment="1">
      <alignment wrapText="1"/>
    </xf>
    <xf numFmtId="165" fontId="63" fillId="0" borderId="53" xfId="1" applyNumberFormat="1" applyFont="1" applyBorder="1" applyAlignment="1">
      <alignment wrapText="1"/>
    </xf>
    <xf numFmtId="165" fontId="46" fillId="0" borderId="0" xfId="1" applyNumberFormat="1" applyFont="1" applyBorder="1" applyAlignment="1">
      <alignment wrapText="1"/>
    </xf>
    <xf numFmtId="165" fontId="49" fillId="0" borderId="0" xfId="1" applyNumberFormat="1" applyFont="1" applyBorder="1" applyAlignment="1">
      <alignment wrapText="1"/>
    </xf>
    <xf numFmtId="165" fontId="55" fillId="0" borderId="0" xfId="1" applyNumberFormat="1" applyFont="1" applyBorder="1" applyAlignment="1">
      <alignment horizontal="center" vertical="center" wrapText="1"/>
    </xf>
    <xf numFmtId="165" fontId="59" fillId="0" borderId="0" xfId="1" applyNumberFormat="1" applyFont="1" applyBorder="1" applyAlignment="1">
      <alignment wrapText="1"/>
    </xf>
    <xf numFmtId="165" fontId="60" fillId="0" borderId="0" xfId="1" applyNumberFormat="1" applyFont="1" applyBorder="1" applyAlignment="1">
      <alignment wrapText="1"/>
    </xf>
    <xf numFmtId="9" fontId="60" fillId="0" borderId="0" xfId="7" applyFont="1" applyBorder="1" applyAlignment="1">
      <alignment wrapText="1"/>
    </xf>
    <xf numFmtId="9" fontId="67" fillId="0" borderId="0" xfId="7" applyFont="1" applyBorder="1" applyAlignment="1">
      <alignment wrapText="1"/>
    </xf>
    <xf numFmtId="9" fontId="69" fillId="0" borderId="0" xfId="7" applyFont="1" applyBorder="1" applyAlignment="1">
      <alignment wrapText="1"/>
    </xf>
    <xf numFmtId="9" fontId="72" fillId="0" borderId="0" xfId="7" applyFont="1" applyBorder="1" applyAlignment="1">
      <alignment wrapText="1"/>
    </xf>
    <xf numFmtId="165" fontId="76" fillId="0" borderId="0" xfId="1" applyNumberFormat="1" applyFont="1" applyBorder="1" applyAlignment="1">
      <alignment wrapText="1"/>
    </xf>
    <xf numFmtId="165" fontId="58" fillId="0" borderId="37" xfId="1" applyNumberFormat="1" applyFont="1" applyBorder="1" applyAlignment="1">
      <alignment wrapText="1"/>
    </xf>
    <xf numFmtId="165" fontId="83" fillId="20" borderId="25" xfId="1" applyNumberFormat="1" applyFont="1" applyFill="1" applyBorder="1" applyAlignment="1">
      <alignment wrapText="1"/>
    </xf>
    <xf numFmtId="165" fontId="42" fillId="11" borderId="58" xfId="1" applyNumberFormat="1" applyFont="1" applyFill="1" applyBorder="1" applyAlignment="1">
      <alignment horizontal="center" vertical="center" wrapText="1"/>
    </xf>
    <xf numFmtId="165" fontId="44" fillId="0" borderId="56" xfId="1" applyNumberFormat="1" applyFont="1" applyBorder="1" applyAlignment="1">
      <alignment horizontal="center" vertical="center" wrapText="1"/>
    </xf>
    <xf numFmtId="165" fontId="56" fillId="12" borderId="0" xfId="1" applyNumberFormat="1" applyFont="1" applyFill="1" applyBorder="1" applyAlignment="1">
      <alignment horizontal="center" vertical="center" wrapText="1"/>
    </xf>
    <xf numFmtId="165" fontId="56" fillId="12" borderId="68" xfId="1" applyNumberFormat="1" applyFont="1" applyFill="1" applyBorder="1" applyAlignment="1">
      <alignment horizontal="center" vertical="center" wrapText="1"/>
    </xf>
    <xf numFmtId="165" fontId="57" fillId="12" borderId="44" xfId="1" applyNumberFormat="1" applyFont="1" applyFill="1" applyBorder="1" applyAlignment="1">
      <alignment horizontal="center" vertical="center" wrapText="1"/>
    </xf>
    <xf numFmtId="165" fontId="44" fillId="0" borderId="0" xfId="1" applyNumberFormat="1" applyFont="1" applyBorder="1" applyAlignment="1">
      <alignment horizontal="center" vertical="center" wrapText="1"/>
    </xf>
    <xf numFmtId="165" fontId="85" fillId="0" borderId="22" xfId="1" applyNumberFormat="1" applyFont="1" applyBorder="1" applyAlignment="1">
      <alignment horizontal="center" vertical="center" wrapText="1"/>
    </xf>
    <xf numFmtId="165" fontId="83" fillId="20" borderId="22" xfId="1" applyNumberFormat="1" applyFont="1" applyFill="1" applyBorder="1" applyAlignment="1">
      <alignment wrapText="1"/>
    </xf>
    <xf numFmtId="165" fontId="17" fillId="0" borderId="49" xfId="1" applyNumberFormat="1" applyFont="1" applyBorder="1" applyAlignment="1">
      <alignment wrapText="1"/>
    </xf>
    <xf numFmtId="165" fontId="17" fillId="0" borderId="43" xfId="1" applyNumberFormat="1" applyFont="1" applyBorder="1" applyAlignment="1">
      <alignment wrapText="1"/>
    </xf>
    <xf numFmtId="165" fontId="17" fillId="0" borderId="0" xfId="1" applyNumberFormat="1" applyFont="1" applyBorder="1" applyAlignment="1">
      <alignment wrapText="1"/>
    </xf>
    <xf numFmtId="165" fontId="17" fillId="0" borderId="51" xfId="1" applyNumberFormat="1" applyFont="1" applyBorder="1" applyAlignment="1">
      <alignment wrapText="1"/>
    </xf>
    <xf numFmtId="165" fontId="83" fillId="0" borderId="0" xfId="1" applyNumberFormat="1" applyFont="1" applyBorder="1" applyAlignment="1">
      <alignment wrapText="1"/>
    </xf>
    <xf numFmtId="165" fontId="85" fillId="0" borderId="37" xfId="1" applyNumberFormat="1" applyFont="1" applyBorder="1" applyAlignment="1">
      <alignment horizontal="center" vertical="center" wrapText="1"/>
    </xf>
    <xf numFmtId="165" fontId="59" fillId="0" borderId="53" xfId="1" applyNumberFormat="1" applyFont="1" applyBorder="1" applyAlignment="1">
      <alignment wrapText="1"/>
    </xf>
    <xf numFmtId="165" fontId="54" fillId="12" borderId="51" xfId="1" applyNumberFormat="1" applyFont="1" applyFill="1" applyBorder="1" applyAlignment="1">
      <alignment horizontal="center" vertical="center" wrapText="1"/>
    </xf>
    <xf numFmtId="165" fontId="56" fillId="12" borderId="13" xfId="1" applyNumberFormat="1" applyFont="1" applyFill="1" applyBorder="1" applyAlignment="1">
      <alignment horizontal="center" vertical="center" wrapText="1"/>
    </xf>
    <xf numFmtId="165" fontId="57" fillId="12" borderId="22" xfId="1" applyNumberFormat="1" applyFont="1" applyFill="1" applyBorder="1" applyAlignment="1">
      <alignment horizontal="center" vertical="center" wrapText="1"/>
    </xf>
    <xf numFmtId="165" fontId="79" fillId="0" borderId="0" xfId="1" applyNumberFormat="1" applyFont="1" applyBorder="1" applyAlignment="1">
      <alignment wrapText="1"/>
    </xf>
    <xf numFmtId="165" fontId="56" fillId="0" borderId="0" xfId="1" applyNumberFormat="1" applyFont="1" applyBorder="1" applyAlignment="1">
      <alignment horizontal="center" vertical="center" wrapText="1"/>
    </xf>
    <xf numFmtId="165" fontId="57" fillId="0" borderId="0" xfId="1" applyNumberFormat="1" applyFont="1" applyBorder="1" applyAlignment="1">
      <alignment horizontal="center" vertical="center" wrapText="1"/>
    </xf>
    <xf numFmtId="165" fontId="55" fillId="0" borderId="53" xfId="1" applyNumberFormat="1" applyFont="1" applyBorder="1" applyAlignment="1">
      <alignment horizontal="center" vertical="center" wrapText="1"/>
    </xf>
    <xf numFmtId="165" fontId="57" fillId="12" borderId="53" xfId="1" applyNumberFormat="1" applyFont="1" applyFill="1" applyBorder="1" applyAlignment="1">
      <alignment horizontal="center" vertical="center" wrapText="1"/>
    </xf>
    <xf numFmtId="165" fontId="54" fillId="0" borderId="0" xfId="1" applyNumberFormat="1" applyFont="1" applyBorder="1" applyAlignment="1">
      <alignment horizontal="center" vertical="center" wrapText="1"/>
    </xf>
    <xf numFmtId="165" fontId="48" fillId="0" borderId="54" xfId="1" applyNumberFormat="1" applyFont="1" applyBorder="1" applyAlignment="1">
      <alignment wrapText="1"/>
    </xf>
    <xf numFmtId="165" fontId="49" fillId="0" borderId="57" xfId="1" applyNumberFormat="1" applyFont="1" applyBorder="1" applyAlignment="1">
      <alignment wrapText="1"/>
    </xf>
    <xf numFmtId="165" fontId="51" fillId="0" borderId="57" xfId="1" applyNumberFormat="1" applyFont="1" applyBorder="1" applyAlignment="1">
      <alignment wrapText="1"/>
    </xf>
    <xf numFmtId="165" fontId="59" fillId="0" borderId="29" xfId="1" applyNumberFormat="1" applyFont="1" applyBorder="1" applyAlignment="1">
      <alignment wrapText="1"/>
    </xf>
    <xf numFmtId="165" fontId="46" fillId="0" borderId="29" xfId="1" applyNumberFormat="1" applyFont="1" applyBorder="1" applyAlignment="1">
      <alignment wrapText="1"/>
    </xf>
    <xf numFmtId="165" fontId="51" fillId="13" borderId="11" xfId="1" applyNumberFormat="1" applyFont="1" applyFill="1" applyBorder="1" applyAlignment="1">
      <alignment wrapText="1"/>
    </xf>
    <xf numFmtId="165" fontId="35" fillId="0" borderId="0" xfId="1" applyNumberFormat="1" applyFont="1" applyBorder="1" applyAlignment="1">
      <alignment horizontal="center" vertical="center" wrapText="1"/>
    </xf>
    <xf numFmtId="14" fontId="35" fillId="0" borderId="0" xfId="1" applyNumberFormat="1" applyFont="1" applyBorder="1" applyAlignment="1">
      <alignment wrapText="1"/>
    </xf>
    <xf numFmtId="165" fontId="35" fillId="0" borderId="0" xfId="1" applyNumberFormat="1" applyFont="1" applyBorder="1" applyAlignment="1">
      <alignment vertical="top" wrapText="1"/>
    </xf>
    <xf numFmtId="165" fontId="35" fillId="0" borderId="71" xfId="1" applyNumberFormat="1" applyFont="1"/>
    <xf numFmtId="165" fontId="88" fillId="0" borderId="71" xfId="1" applyNumberFormat="1" applyFont="1" applyAlignment="1">
      <alignment horizontal="center" vertical="center" wrapText="1"/>
    </xf>
    <xf numFmtId="165" fontId="88" fillId="0" borderId="71" xfId="1" applyNumberFormat="1" applyFont="1" applyAlignment="1">
      <alignment horizontal="left" vertical="center" wrapText="1"/>
    </xf>
    <xf numFmtId="165" fontId="89" fillId="0" borderId="71" xfId="1" applyNumberFormat="1" applyFont="1" applyAlignment="1">
      <alignment horizontal="center" vertical="center" wrapText="1"/>
    </xf>
    <xf numFmtId="0" fontId="0" fillId="0" borderId="71" xfId="0"/>
    <xf numFmtId="14" fontId="71" fillId="0" borderId="71" xfId="1" applyNumberFormat="1" applyFont="1" applyAlignment="1">
      <alignment horizontal="center" vertical="center" wrapText="1"/>
    </xf>
    <xf numFmtId="9" fontId="40" fillId="9" borderId="74" xfId="9" applyNumberFormat="1" applyFont="1" applyFill="1" applyBorder="1" applyAlignment="1">
      <alignment horizontal="center" vertical="center" wrapText="1"/>
    </xf>
    <xf numFmtId="0" fontId="38" fillId="0" borderId="0" xfId="9" applyFont="1" applyBorder="1" applyAlignment="1">
      <alignment horizontal="left" vertical="center" wrapText="1"/>
    </xf>
    <xf numFmtId="0" fontId="38" fillId="0" borderId="67" xfId="9" applyFont="1" applyBorder="1" applyAlignment="1">
      <alignment horizontal="left" vertical="center" wrapText="1"/>
    </xf>
    <xf numFmtId="165" fontId="39" fillId="0" borderId="71" xfId="1" applyNumberFormat="1" applyFont="1" applyAlignment="1">
      <alignment horizontal="center" vertical="center" wrapText="1"/>
    </xf>
    <xf numFmtId="0" fontId="29" fillId="0" borderId="0" xfId="2" applyFont="1" applyBorder="1" applyAlignment="1">
      <alignment horizontal="center" vertical="center" wrapText="1"/>
    </xf>
    <xf numFmtId="9" fontId="40" fillId="9" borderId="53" xfId="9" applyNumberFormat="1" applyFont="1" applyFill="1" applyBorder="1" applyAlignment="1">
      <alignment horizontal="center" vertical="center" wrapText="1"/>
    </xf>
    <xf numFmtId="49" fontId="40" fillId="9" borderId="57" xfId="9" applyNumberFormat="1" applyFont="1" applyFill="1" applyBorder="1" applyAlignment="1">
      <alignment horizontal="center" vertical="center" wrapText="1"/>
    </xf>
    <xf numFmtId="49" fontId="40" fillId="9" borderId="71" xfId="9" applyNumberFormat="1" applyFont="1" applyFill="1" applyAlignment="1">
      <alignment horizontal="center" vertical="center" wrapText="1"/>
    </xf>
    <xf numFmtId="165" fontId="103" fillId="0" borderId="0" xfId="1" applyNumberFormat="1" applyFont="1" applyBorder="1" applyAlignment="1">
      <alignment wrapText="1"/>
    </xf>
    <xf numFmtId="17" fontId="82" fillId="0" borderId="37" xfId="0" applyNumberFormat="1" applyFont="1" applyBorder="1" applyAlignment="1">
      <alignment horizontal="center" vertical="top" wrapText="1"/>
    </xf>
    <xf numFmtId="165" fontId="81" fillId="3" borderId="15" xfId="1" applyNumberFormat="1" applyFont="1" applyFill="1" applyBorder="1" applyAlignment="1">
      <alignment horizontal="center" vertical="top" wrapText="1"/>
    </xf>
    <xf numFmtId="165" fontId="103" fillId="0" borderId="0" xfId="1" applyNumberFormat="1" applyFont="1" applyBorder="1" applyAlignment="1">
      <alignment vertical="top" wrapText="1"/>
    </xf>
    <xf numFmtId="165" fontId="43" fillId="0" borderId="0" xfId="1" applyNumberFormat="1" applyFont="1" applyBorder="1" applyAlignment="1">
      <alignment horizontal="center" vertical="center" wrapText="1"/>
    </xf>
    <xf numFmtId="165" fontId="42" fillId="10" borderId="57" xfId="1" applyNumberFormat="1" applyFont="1" applyFill="1" applyBorder="1" applyAlignment="1">
      <alignment horizontal="center" vertical="center" wrapText="1"/>
    </xf>
    <xf numFmtId="165" fontId="42" fillId="19" borderId="0" xfId="1" applyNumberFormat="1" applyFont="1" applyFill="1" applyBorder="1" applyAlignment="1">
      <alignment horizontal="center" vertical="center" wrapText="1"/>
    </xf>
    <xf numFmtId="165" fontId="42" fillId="10" borderId="13" xfId="1" applyNumberFormat="1" applyFont="1" applyFill="1" applyBorder="1" applyAlignment="1">
      <alignment horizontal="center" vertical="center" wrapText="1"/>
    </xf>
    <xf numFmtId="165" fontId="35" fillId="0" borderId="53" xfId="1" applyNumberFormat="1" applyFont="1" applyBorder="1" applyAlignment="1">
      <alignment wrapText="1"/>
    </xf>
    <xf numFmtId="165" fontId="35" fillId="0" borderId="57" xfId="1" applyNumberFormat="1" applyFont="1" applyBorder="1" applyAlignment="1">
      <alignment wrapText="1"/>
    </xf>
    <xf numFmtId="165" fontId="42" fillId="0" borderId="43" xfId="1" applyNumberFormat="1" applyFont="1" applyBorder="1" applyAlignment="1">
      <alignment horizontal="center" vertical="center" wrapText="1"/>
    </xf>
    <xf numFmtId="165" fontId="42" fillId="0" borderId="0" xfId="1" applyNumberFormat="1" applyFont="1" applyBorder="1" applyAlignment="1">
      <alignment horizontal="center" vertical="center" wrapText="1"/>
    </xf>
    <xf numFmtId="165" fontId="35" fillId="0" borderId="29" xfId="1" applyNumberFormat="1" applyFont="1" applyBorder="1" applyAlignment="1">
      <alignment wrapText="1"/>
    </xf>
    <xf numFmtId="165" fontId="52" fillId="0" borderId="0" xfId="1" applyNumberFormat="1" applyFont="1" applyBorder="1" applyAlignment="1">
      <alignment wrapText="1"/>
    </xf>
    <xf numFmtId="165" fontId="53" fillId="0" borderId="0" xfId="1" applyNumberFormat="1" applyFont="1" applyBorder="1" applyAlignment="1">
      <alignment wrapText="1"/>
    </xf>
    <xf numFmtId="165" fontId="53" fillId="0" borderId="44" xfId="1" applyNumberFormat="1" applyFont="1" applyBorder="1" applyAlignment="1">
      <alignment wrapText="1"/>
    </xf>
    <xf numFmtId="165" fontId="35" fillId="0" borderId="71" xfId="1" applyNumberFormat="1" applyFont="1" applyAlignment="1">
      <alignment wrapText="1"/>
    </xf>
    <xf numFmtId="165" fontId="56" fillId="12" borderId="49" xfId="0" applyNumberFormat="1" applyFont="1" applyFill="1" applyBorder="1" applyAlignment="1">
      <alignment horizontal="center" vertical="center" wrapText="1"/>
    </xf>
    <xf numFmtId="165" fontId="47" fillId="0" borderId="0" xfId="1" applyNumberFormat="1" applyFont="1" applyBorder="1" applyAlignment="1">
      <alignment wrapText="1"/>
    </xf>
    <xf numFmtId="165" fontId="47" fillId="0" borderId="71" xfId="1" applyNumberFormat="1" applyFont="1" applyAlignment="1">
      <alignment wrapText="1"/>
    </xf>
    <xf numFmtId="165" fontId="34" fillId="0" borderId="0" xfId="1" applyNumberFormat="1" applyFont="1" applyBorder="1" applyAlignment="1">
      <alignment wrapText="1"/>
    </xf>
    <xf numFmtId="165" fontId="74" fillId="0" borderId="0" xfId="1" applyNumberFormat="1" applyFont="1" applyBorder="1" applyAlignment="1">
      <alignment wrapText="1"/>
    </xf>
    <xf numFmtId="165" fontId="78" fillId="0" borderId="0" xfId="1" applyNumberFormat="1" applyFont="1" applyBorder="1" applyAlignment="1">
      <alignment wrapText="1"/>
    </xf>
    <xf numFmtId="0" fontId="0" fillId="0" borderId="71" xfId="0" applyAlignment="1">
      <alignment wrapText="1"/>
    </xf>
    <xf numFmtId="0" fontId="93" fillId="0" borderId="70" xfId="0" applyFont="1" applyBorder="1" applyAlignment="1">
      <alignment wrapText="1"/>
    </xf>
    <xf numFmtId="0" fontId="93" fillId="0" borderId="71" xfId="0" applyFont="1" applyAlignment="1">
      <alignment wrapText="1"/>
    </xf>
    <xf numFmtId="3" fontId="102" fillId="0" borderId="0" xfId="0" applyNumberFormat="1" applyFont="1" applyBorder="1" applyAlignment="1">
      <alignment wrapText="1"/>
    </xf>
    <xf numFmtId="0" fontId="102" fillId="0" borderId="0" xfId="0" applyFont="1" applyBorder="1" applyAlignment="1">
      <alignment wrapText="1"/>
    </xf>
    <xf numFmtId="3" fontId="102" fillId="0" borderId="0" xfId="0" applyNumberFormat="1" applyFont="1" applyBorder="1" applyAlignment="1">
      <alignment horizontal="right" wrapText="1"/>
    </xf>
    <xf numFmtId="165" fontId="41" fillId="0" borderId="17" xfId="1" applyNumberFormat="1" applyFont="1" applyBorder="1" applyAlignment="1">
      <alignment horizontal="center" vertical="top"/>
    </xf>
    <xf numFmtId="165" fontId="44" fillId="0" borderId="13" xfId="1" applyNumberFormat="1" applyFont="1" applyBorder="1" applyAlignment="1">
      <alignment horizontal="center" vertical="center" wrapText="1"/>
    </xf>
    <xf numFmtId="165" fontId="35" fillId="0" borderId="50" xfId="1" applyNumberFormat="1" applyFont="1" applyBorder="1"/>
    <xf numFmtId="165" fontId="42" fillId="0" borderId="71" xfId="1" applyNumberFormat="1" applyFont="1" applyAlignment="1">
      <alignment horizontal="center" vertical="center"/>
    </xf>
    <xf numFmtId="165" fontId="44" fillId="0" borderId="71" xfId="1" applyNumberFormat="1" applyFont="1" applyAlignment="1">
      <alignment horizontal="center" vertical="center" wrapText="1"/>
    </xf>
    <xf numFmtId="165" fontId="80" fillId="0" borderId="71" xfId="1" applyNumberFormat="1" applyFont="1" applyAlignment="1">
      <alignment horizontal="center" vertical="center" wrapText="1"/>
    </xf>
    <xf numFmtId="165" fontId="80" fillId="0" borderId="44" xfId="1" applyNumberFormat="1" applyFont="1" applyBorder="1" applyAlignment="1">
      <alignment horizontal="center" vertical="center" wrapText="1"/>
    </xf>
    <xf numFmtId="165" fontId="73" fillId="0" borderId="50" xfId="1" applyNumberFormat="1" applyFont="1" applyBorder="1" applyAlignment="1">
      <alignment wrapText="1"/>
    </xf>
    <xf numFmtId="165" fontId="50" fillId="0" borderId="71" xfId="1" applyNumberFormat="1" applyFont="1" applyAlignment="1">
      <alignment wrapText="1"/>
    </xf>
    <xf numFmtId="165" fontId="73" fillId="0" borderId="71" xfId="1" applyNumberFormat="1" applyFont="1" applyAlignment="1">
      <alignment wrapText="1"/>
    </xf>
    <xf numFmtId="165" fontId="104" fillId="0" borderId="71" xfId="1" applyNumberFormat="1" applyFont="1" applyAlignment="1">
      <alignment wrapText="1"/>
    </xf>
    <xf numFmtId="165" fontId="104" fillId="0" borderId="44" xfId="1" applyNumberFormat="1" applyFont="1" applyBorder="1" applyAlignment="1">
      <alignment wrapText="1"/>
    </xf>
    <xf numFmtId="165" fontId="104" fillId="0" borderId="29" xfId="1" applyNumberFormat="1" applyFont="1" applyBorder="1" applyAlignment="1">
      <alignment wrapText="1"/>
    </xf>
    <xf numFmtId="165" fontId="104" fillId="0" borderId="52" xfId="1" applyNumberFormat="1" applyFont="1" applyBorder="1" applyAlignment="1">
      <alignment wrapText="1"/>
    </xf>
    <xf numFmtId="165" fontId="104" fillId="0" borderId="53" xfId="1" applyNumberFormat="1" applyFont="1" applyBorder="1" applyAlignment="1">
      <alignment wrapText="1"/>
    </xf>
    <xf numFmtId="165" fontId="104" fillId="0" borderId="50" xfId="1" applyNumberFormat="1" applyFont="1" applyBorder="1" applyAlignment="1">
      <alignment wrapText="1"/>
    </xf>
    <xf numFmtId="165" fontId="50" fillId="0" borderId="44" xfId="1" applyNumberFormat="1" applyFont="1" applyBorder="1" applyAlignment="1">
      <alignment wrapText="1"/>
    </xf>
    <xf numFmtId="165" fontId="84" fillId="0" borderId="71" xfId="1" applyNumberFormat="1" applyFont="1" applyAlignment="1">
      <alignment wrapText="1"/>
    </xf>
    <xf numFmtId="165" fontId="61" fillId="0" borderId="71" xfId="1" applyNumberFormat="1" applyFont="1" applyAlignment="1">
      <alignment wrapText="1"/>
    </xf>
    <xf numFmtId="165" fontId="73" fillId="0" borderId="14" xfId="1" applyNumberFormat="1" applyFont="1" applyBorder="1" applyAlignment="1">
      <alignment wrapText="1"/>
    </xf>
    <xf numFmtId="165" fontId="73" fillId="0" borderId="48" xfId="1" applyNumberFormat="1" applyFont="1" applyBorder="1" applyAlignment="1">
      <alignment wrapText="1"/>
    </xf>
    <xf numFmtId="165" fontId="73" fillId="0" borderId="5" xfId="1" applyNumberFormat="1" applyFont="1" applyBorder="1" applyAlignment="1">
      <alignment wrapText="1"/>
    </xf>
    <xf numFmtId="165" fontId="73" fillId="0" borderId="42" xfId="1" applyNumberFormat="1" applyFont="1" applyBorder="1" applyAlignment="1">
      <alignment wrapText="1"/>
    </xf>
    <xf numFmtId="165" fontId="73" fillId="13" borderId="6" xfId="1" applyNumberFormat="1" applyFont="1" applyFill="1" applyBorder="1" applyAlignment="1">
      <alignment wrapText="1"/>
    </xf>
    <xf numFmtId="165" fontId="73" fillId="13" borderId="46" xfId="1" applyNumberFormat="1" applyFont="1" applyFill="1" applyBorder="1" applyAlignment="1">
      <alignment wrapText="1"/>
    </xf>
    <xf numFmtId="165" fontId="50" fillId="0" borderId="64" xfId="1" applyNumberFormat="1" applyFont="1" applyBorder="1" applyAlignment="1">
      <alignment wrapText="1"/>
    </xf>
    <xf numFmtId="165" fontId="35" fillId="0" borderId="31" xfId="1" applyNumberFormat="1" applyFont="1" applyBorder="1"/>
    <xf numFmtId="165" fontId="50" fillId="0" borderId="31" xfId="1" applyNumberFormat="1" applyFont="1" applyBorder="1" applyAlignment="1">
      <alignment wrapText="1"/>
    </xf>
    <xf numFmtId="165" fontId="62" fillId="0" borderId="64" xfId="1" applyNumberFormat="1" applyFont="1" applyBorder="1" applyAlignment="1">
      <alignment wrapText="1"/>
    </xf>
    <xf numFmtId="165" fontId="35" fillId="0" borderId="64" xfId="1" applyNumberFormat="1" applyFont="1" applyBorder="1"/>
    <xf numFmtId="165" fontId="50" fillId="7" borderId="31" xfId="1" applyNumberFormat="1" applyFont="1" applyFill="1" applyBorder="1" applyAlignment="1">
      <alignment wrapText="1"/>
    </xf>
    <xf numFmtId="165" fontId="51" fillId="0" borderId="25" xfId="1" applyNumberFormat="1" applyFont="1" applyBorder="1" applyAlignment="1">
      <alignment wrapText="1"/>
    </xf>
    <xf numFmtId="165" fontId="51" fillId="0" borderId="52" xfId="1" applyNumberFormat="1" applyFont="1" applyBorder="1" applyAlignment="1">
      <alignment wrapText="1"/>
    </xf>
    <xf numFmtId="165" fontId="42" fillId="0" borderId="13" xfId="1" applyNumberFormat="1" applyFont="1" applyBorder="1" applyAlignment="1">
      <alignment horizontal="center" vertical="center" wrapText="1"/>
    </xf>
    <xf numFmtId="49" fontId="40" fillId="9" borderId="54" xfId="9" applyNumberFormat="1" applyFont="1" applyFill="1" applyBorder="1" applyAlignment="1">
      <alignment horizontal="center" vertical="center" wrapText="1"/>
    </xf>
    <xf numFmtId="0" fontId="110" fillId="0" borderId="13" xfId="0" applyFont="1" applyBorder="1" applyAlignment="1">
      <alignment wrapText="1"/>
    </xf>
    <xf numFmtId="165" fontId="108" fillId="0" borderId="16" xfId="1" applyNumberFormat="1" applyFont="1" applyBorder="1" applyAlignment="1">
      <alignment vertical="top" wrapText="1"/>
    </xf>
    <xf numFmtId="165" fontId="109" fillId="0" borderId="16" xfId="1" applyNumberFormat="1" applyFont="1" applyBorder="1" applyAlignment="1">
      <alignment horizontal="center" vertical="top" wrapText="1"/>
    </xf>
    <xf numFmtId="0" fontId="99" fillId="21" borderId="16" xfId="0" applyFont="1" applyFill="1" applyBorder="1" applyAlignment="1">
      <alignment horizontal="center" vertical="center" wrapText="1"/>
    </xf>
    <xf numFmtId="0" fontId="93" fillId="21" borderId="70" xfId="0" applyFont="1" applyFill="1" applyBorder="1" applyAlignment="1">
      <alignment wrapText="1"/>
    </xf>
    <xf numFmtId="0" fontId="99" fillId="21" borderId="49" xfId="0" applyFont="1" applyFill="1" applyBorder="1" applyAlignment="1">
      <alignment horizontal="center" vertical="center" wrapText="1"/>
    </xf>
    <xf numFmtId="0" fontId="99" fillId="21" borderId="50" xfId="0" applyFont="1" applyFill="1" applyBorder="1" applyAlignment="1">
      <alignment horizontal="center" vertical="center" wrapText="1"/>
    </xf>
    <xf numFmtId="165" fontId="35" fillId="17" borderId="0" xfId="1" applyNumberFormat="1" applyFont="1" applyFill="1" applyBorder="1" applyAlignment="1">
      <alignment wrapText="1"/>
    </xf>
    <xf numFmtId="14" fontId="81" fillId="17" borderId="7" xfId="1" applyNumberFormat="1" applyFont="1" applyFill="1" applyBorder="1" applyAlignment="1">
      <alignment horizontal="center" vertical="center" wrapText="1"/>
    </xf>
    <xf numFmtId="14" fontId="35" fillId="17" borderId="0" xfId="1" applyNumberFormat="1" applyFont="1" applyFill="1" applyBorder="1" applyAlignment="1">
      <alignment wrapText="1"/>
    </xf>
    <xf numFmtId="165" fontId="95" fillId="17" borderId="7" xfId="1" applyNumberFormat="1" applyFont="1" applyFill="1" applyBorder="1" applyAlignment="1">
      <alignment horizontal="center" vertical="center" wrapText="1"/>
    </xf>
    <xf numFmtId="165" fontId="96" fillId="17" borderId="9" xfId="1" applyNumberFormat="1" applyFont="1" applyFill="1" applyBorder="1" applyAlignment="1">
      <alignment horizontal="center" vertical="center" wrapText="1"/>
    </xf>
    <xf numFmtId="165" fontId="97" fillId="17" borderId="2" xfId="1" applyNumberFormat="1" applyFont="1" applyFill="1" applyBorder="1" applyAlignment="1">
      <alignment horizontal="center" vertical="center" wrapText="1"/>
    </xf>
    <xf numFmtId="165" fontId="96" fillId="17" borderId="2" xfId="1" applyNumberFormat="1" applyFont="1" applyFill="1" applyBorder="1" applyAlignment="1">
      <alignment horizontal="center" vertical="center" wrapText="1"/>
    </xf>
    <xf numFmtId="165" fontId="96" fillId="17" borderId="64" xfId="1" applyNumberFormat="1" applyFont="1" applyFill="1" applyBorder="1" applyAlignment="1">
      <alignment horizontal="center" vertical="center" wrapText="1"/>
    </xf>
    <xf numFmtId="165" fontId="35" fillId="17" borderId="0" xfId="1" applyNumberFormat="1" applyFont="1" applyFill="1" applyBorder="1" applyAlignment="1">
      <alignment horizontal="center" vertical="center" wrapText="1"/>
    </xf>
    <xf numFmtId="165" fontId="88" fillId="17" borderId="9" xfId="1" applyNumberFormat="1" applyFont="1" applyFill="1" applyBorder="1" applyAlignment="1">
      <alignment horizontal="left" vertical="center" wrapText="1"/>
    </xf>
    <xf numFmtId="165" fontId="88" fillId="17" borderId="2" xfId="1" applyNumberFormat="1" applyFont="1" applyFill="1" applyBorder="1" applyAlignment="1">
      <alignment horizontal="center" vertical="center" wrapText="1"/>
    </xf>
    <xf numFmtId="165" fontId="88" fillId="17" borderId="64" xfId="1" applyNumberFormat="1" applyFont="1" applyFill="1" applyBorder="1" applyAlignment="1">
      <alignment horizontal="center" vertical="center" wrapText="1"/>
    </xf>
    <xf numFmtId="165" fontId="35" fillId="17" borderId="9" xfId="1" applyNumberFormat="1" applyFont="1" applyFill="1" applyBorder="1" applyAlignment="1">
      <alignment horizontal="center" vertical="center" wrapText="1"/>
    </xf>
    <xf numFmtId="165" fontId="35" fillId="17" borderId="2" xfId="1" applyNumberFormat="1" applyFont="1" applyFill="1" applyBorder="1" applyAlignment="1">
      <alignment horizontal="center" vertical="center" wrapText="1"/>
    </xf>
    <xf numFmtId="165" fontId="35" fillId="17" borderId="64" xfId="1" applyNumberFormat="1" applyFont="1" applyFill="1" applyBorder="1" applyAlignment="1">
      <alignment horizontal="center" vertical="center" wrapText="1"/>
    </xf>
    <xf numFmtId="165" fontId="89" fillId="17" borderId="2" xfId="1" applyNumberFormat="1" applyFont="1" applyFill="1" applyBorder="1" applyAlignment="1">
      <alignment horizontal="center" vertical="center" wrapText="1"/>
    </xf>
    <xf numFmtId="165" fontId="87" fillId="17" borderId="2" xfId="1" applyNumberFormat="1" applyFont="1" applyFill="1" applyBorder="1" applyAlignment="1">
      <alignment horizontal="center" vertical="center" wrapText="1"/>
    </xf>
    <xf numFmtId="165" fontId="87" fillId="17" borderId="64" xfId="1" applyNumberFormat="1" applyFont="1" applyFill="1" applyBorder="1" applyAlignment="1">
      <alignment horizontal="center" vertical="center" wrapText="1"/>
    </xf>
    <xf numFmtId="165" fontId="35" fillId="17" borderId="9" xfId="1" applyNumberFormat="1" applyFont="1" applyFill="1" applyBorder="1" applyAlignment="1">
      <alignment horizontal="left" vertical="center" wrapText="1"/>
    </xf>
    <xf numFmtId="165" fontId="86" fillId="17" borderId="2" xfId="1" applyNumberFormat="1" applyFont="1" applyFill="1" applyBorder="1" applyAlignment="1">
      <alignment vertical="center" wrapText="1"/>
    </xf>
    <xf numFmtId="165" fontId="86" fillId="17" borderId="64" xfId="1" applyNumberFormat="1" applyFont="1" applyFill="1" applyBorder="1" applyAlignment="1">
      <alignment vertical="center" wrapText="1"/>
    </xf>
    <xf numFmtId="165" fontId="105" fillId="17" borderId="2" xfId="1" applyNumberFormat="1" applyFont="1" applyFill="1" applyBorder="1" applyAlignment="1">
      <alignment horizontal="center" vertical="center" wrapText="1"/>
    </xf>
    <xf numFmtId="3" fontId="106" fillId="17" borderId="64" xfId="1" applyNumberFormat="1" applyFont="1" applyFill="1" applyBorder="1" applyAlignment="1">
      <alignment horizontal="right" wrapText="1"/>
    </xf>
    <xf numFmtId="49" fontId="107" fillId="17" borderId="2" xfId="1" applyNumberFormat="1" applyFont="1" applyFill="1" applyBorder="1" applyAlignment="1">
      <alignment horizontal="right" vertical="center" wrapText="1"/>
    </xf>
    <xf numFmtId="165" fontId="88" fillId="17" borderId="10" xfId="1" applyNumberFormat="1" applyFont="1" applyFill="1" applyBorder="1" applyAlignment="1">
      <alignment horizontal="left" vertical="center" wrapText="1"/>
    </xf>
    <xf numFmtId="165" fontId="88" fillId="17" borderId="11" xfId="1" applyNumberFormat="1" applyFont="1" applyFill="1" applyBorder="1" applyAlignment="1">
      <alignment horizontal="center" vertical="center" wrapText="1"/>
    </xf>
    <xf numFmtId="165" fontId="89" fillId="17" borderId="11" xfId="1" applyNumberFormat="1" applyFont="1" applyFill="1" applyBorder="1" applyAlignment="1">
      <alignment horizontal="center" vertical="center" wrapText="1"/>
    </xf>
    <xf numFmtId="165" fontId="86" fillId="17" borderId="11" xfId="1" applyNumberFormat="1" applyFont="1" applyFill="1" applyBorder="1" applyAlignment="1">
      <alignment vertical="center" wrapText="1"/>
    </xf>
    <xf numFmtId="165" fontId="86" fillId="17" borderId="73" xfId="1" applyNumberFormat="1" applyFont="1" applyFill="1" applyBorder="1" applyAlignment="1">
      <alignment vertical="center" wrapText="1"/>
    </xf>
    <xf numFmtId="165" fontId="88" fillId="17" borderId="71" xfId="1" applyNumberFormat="1" applyFont="1" applyFill="1" applyAlignment="1">
      <alignment horizontal="center" vertical="center" wrapText="1"/>
    </xf>
    <xf numFmtId="165" fontId="105" fillId="17" borderId="11" xfId="1" applyNumberFormat="1" applyFont="1" applyFill="1" applyBorder="1" applyAlignment="1">
      <alignment horizontal="center" vertical="center" wrapText="1"/>
    </xf>
    <xf numFmtId="3" fontId="106" fillId="17" borderId="11" xfId="1" applyNumberFormat="1" applyFont="1" applyFill="1" applyBorder="1" applyAlignment="1">
      <alignment horizontal="right" wrapText="1"/>
    </xf>
    <xf numFmtId="3" fontId="106" fillId="17" borderId="73" xfId="1" applyNumberFormat="1" applyFont="1" applyFill="1" applyBorder="1" applyAlignment="1">
      <alignment horizontal="right" wrapText="1"/>
    </xf>
    <xf numFmtId="165" fontId="88" fillId="17" borderId="71" xfId="1" applyNumberFormat="1" applyFont="1" applyFill="1" applyAlignment="1">
      <alignment horizontal="left" vertical="center" wrapText="1"/>
    </xf>
    <xf numFmtId="165" fontId="89" fillId="17" borderId="71" xfId="1" applyNumberFormat="1" applyFont="1" applyFill="1" applyAlignment="1">
      <alignment horizontal="center" vertical="center" wrapText="1"/>
    </xf>
    <xf numFmtId="165" fontId="86" fillId="17" borderId="71" xfId="1" applyNumberFormat="1" applyFont="1" applyFill="1" applyAlignment="1">
      <alignment vertical="center" wrapText="1"/>
    </xf>
    <xf numFmtId="0" fontId="0" fillId="17" borderId="71" xfId="0" applyFill="1" applyAlignment="1">
      <alignment wrapText="1"/>
    </xf>
    <xf numFmtId="165" fontId="90" fillId="17" borderId="49" xfId="1" applyNumberFormat="1" applyFont="1" applyFill="1" applyBorder="1" applyAlignment="1">
      <alignment horizontal="center" vertical="center" wrapText="1"/>
    </xf>
    <xf numFmtId="165" fontId="92" fillId="17" borderId="53" xfId="1" applyNumberFormat="1" applyFont="1" applyFill="1" applyBorder="1" applyAlignment="1">
      <alignment horizontal="center" vertical="center" wrapText="1"/>
    </xf>
    <xf numFmtId="165" fontId="92" fillId="17" borderId="50" xfId="1" applyNumberFormat="1" applyFont="1" applyFill="1" applyBorder="1" applyAlignment="1">
      <alignment horizontal="center" vertical="center" wrapText="1"/>
    </xf>
    <xf numFmtId="165" fontId="91" fillId="17" borderId="43" xfId="1" applyNumberFormat="1" applyFont="1" applyFill="1" applyBorder="1" applyAlignment="1">
      <alignment horizontal="center" vertical="center" wrapText="1"/>
    </xf>
    <xf numFmtId="165" fontId="35" fillId="17" borderId="71" xfId="1" applyNumberFormat="1" applyFont="1" applyFill="1" applyAlignment="1">
      <alignment horizontal="left" vertical="center" wrapText="1"/>
    </xf>
    <xf numFmtId="165" fontId="35" fillId="17" borderId="71" xfId="1" applyNumberFormat="1" applyFont="1" applyFill="1" applyAlignment="1">
      <alignment horizontal="center" vertical="center" wrapText="1"/>
    </xf>
    <xf numFmtId="3" fontId="110" fillId="17" borderId="71" xfId="1" applyNumberFormat="1" applyFont="1" applyFill="1" applyAlignment="1">
      <alignment horizontal="right" vertical="center" wrapText="1"/>
    </xf>
    <xf numFmtId="165" fontId="35" fillId="17" borderId="44" xfId="1" applyNumberFormat="1" applyFont="1" applyFill="1" applyBorder="1" applyAlignment="1">
      <alignment horizontal="center" vertical="center" wrapText="1"/>
    </xf>
    <xf numFmtId="165" fontId="89" fillId="17" borderId="64" xfId="1" applyNumberFormat="1" applyFont="1" applyFill="1" applyBorder="1" applyAlignment="1">
      <alignment horizontal="center" vertical="center" wrapText="1"/>
    </xf>
    <xf numFmtId="165" fontId="91" fillId="17" borderId="51" xfId="1" applyNumberFormat="1" applyFont="1" applyFill="1" applyBorder="1" applyAlignment="1">
      <alignment horizontal="center" vertical="center" wrapText="1"/>
    </xf>
    <xf numFmtId="165" fontId="35" fillId="17" borderId="29" xfId="1" applyNumberFormat="1" applyFont="1" applyFill="1" applyBorder="1" applyAlignment="1">
      <alignment horizontal="left" vertical="center" wrapText="1"/>
    </xf>
    <xf numFmtId="165" fontId="35" fillId="17" borderId="29" xfId="1" applyNumberFormat="1" applyFont="1" applyFill="1" applyBorder="1" applyAlignment="1">
      <alignment horizontal="center" vertical="center" wrapText="1"/>
    </xf>
    <xf numFmtId="3" fontId="110" fillId="17" borderId="29" xfId="1" applyNumberFormat="1" applyFont="1" applyFill="1" applyBorder="1" applyAlignment="1">
      <alignment horizontal="right" vertical="center" wrapText="1"/>
    </xf>
    <xf numFmtId="165" fontId="35" fillId="17" borderId="52" xfId="1" applyNumberFormat="1" applyFont="1" applyFill="1" applyBorder="1" applyAlignment="1">
      <alignment horizontal="center" vertical="center" wrapText="1"/>
    </xf>
    <xf numFmtId="3" fontId="110" fillId="17" borderId="2" xfId="1" applyNumberFormat="1" applyFont="1" applyFill="1" applyBorder="1" applyAlignment="1">
      <alignment horizontal="right" wrapText="1"/>
    </xf>
    <xf numFmtId="3" fontId="110" fillId="17" borderId="64" xfId="1" applyNumberFormat="1" applyFont="1" applyFill="1" applyBorder="1" applyAlignment="1">
      <alignment horizontal="right" wrapText="1"/>
    </xf>
    <xf numFmtId="3" fontId="110" fillId="17" borderId="11" xfId="1" applyNumberFormat="1" applyFont="1" applyFill="1" applyBorder="1" applyAlignment="1">
      <alignment horizontal="right" wrapText="1"/>
    </xf>
    <xf numFmtId="165" fontId="88" fillId="17" borderId="73" xfId="1" applyNumberFormat="1" applyFont="1" applyFill="1" applyBorder="1" applyAlignment="1">
      <alignment horizontal="center" vertical="center" wrapText="1"/>
    </xf>
    <xf numFmtId="0" fontId="111" fillId="20" borderId="49" xfId="0" applyFont="1" applyFill="1" applyBorder="1" applyAlignment="1">
      <alignment horizontal="center" vertical="center" wrapText="1"/>
    </xf>
    <xf numFmtId="165" fontId="111" fillId="20" borderId="53" xfId="1" applyNumberFormat="1" applyFont="1" applyFill="1" applyBorder="1" applyAlignment="1">
      <alignment horizontal="center" vertical="center" wrapText="1"/>
    </xf>
    <xf numFmtId="3" fontId="112" fillId="20" borderId="53" xfId="1" applyNumberFormat="1" applyFont="1" applyFill="1" applyBorder="1" applyAlignment="1">
      <alignment horizontal="right" wrapText="1"/>
    </xf>
    <xf numFmtId="3" fontId="112" fillId="20" borderId="50" xfId="0" applyNumberFormat="1" applyFont="1" applyFill="1" applyBorder="1" applyAlignment="1">
      <alignment horizontal="right" wrapText="1"/>
    </xf>
    <xf numFmtId="165" fontId="88" fillId="20" borderId="71" xfId="1" applyNumberFormat="1" applyFont="1" applyFill="1" applyAlignment="1">
      <alignment horizontal="center" vertical="center" wrapText="1"/>
    </xf>
    <xf numFmtId="3" fontId="101" fillId="20" borderId="53" xfId="0" applyNumberFormat="1" applyFont="1" applyFill="1" applyBorder="1" applyAlignment="1">
      <alignment horizontal="right" wrapText="1"/>
    </xf>
    <xf numFmtId="3" fontId="102" fillId="20" borderId="53" xfId="0" applyNumberFormat="1" applyFont="1" applyFill="1" applyBorder="1" applyAlignment="1">
      <alignment horizontal="right" wrapText="1"/>
    </xf>
    <xf numFmtId="3" fontId="101" fillId="20" borderId="50" xfId="0" applyNumberFormat="1" applyFont="1" applyFill="1" applyBorder="1" applyAlignment="1">
      <alignment horizontal="right" wrapText="1"/>
    </xf>
    <xf numFmtId="165" fontId="64" fillId="0" borderId="15" xfId="1" applyNumberFormat="1" applyFont="1" applyBorder="1" applyAlignment="1">
      <alignment wrapText="1"/>
    </xf>
    <xf numFmtId="165" fontId="64" fillId="0" borderId="50" xfId="1" applyNumberFormat="1" applyFont="1" applyBorder="1" applyAlignment="1">
      <alignment wrapText="1"/>
    </xf>
    <xf numFmtId="165" fontId="64" fillId="0" borderId="75" xfId="1" applyNumberFormat="1" applyFont="1" applyBorder="1" applyAlignment="1">
      <alignment wrapText="1"/>
    </xf>
    <xf numFmtId="165" fontId="62" fillId="0" borderId="17" xfId="1" applyNumberFormat="1" applyFont="1" applyBorder="1" applyAlignment="1">
      <alignment wrapText="1"/>
    </xf>
    <xf numFmtId="165" fontId="39" fillId="0" borderId="69" xfId="1" applyNumberFormat="1" applyFont="1" applyBorder="1" applyAlignment="1">
      <alignment horizontal="center" vertical="center" wrapText="1"/>
    </xf>
    <xf numFmtId="165" fontId="35" fillId="0" borderId="0" xfId="1" applyNumberFormat="1" applyFont="1" applyBorder="1" applyAlignment="1">
      <alignment wrapText="1"/>
    </xf>
    <xf numFmtId="165" fontId="98" fillId="17" borderId="29" xfId="1" applyNumberFormat="1" applyFont="1" applyFill="1" applyBorder="1" applyAlignment="1">
      <alignment horizontal="center" vertical="center" wrapText="1"/>
    </xf>
    <xf numFmtId="0" fontId="2" fillId="17" borderId="29" xfId="0" applyFont="1" applyFill="1" applyBorder="1" applyAlignment="1">
      <alignment wrapText="1"/>
    </xf>
    <xf numFmtId="0" fontId="82" fillId="18" borderId="37" xfId="0" applyFont="1" applyFill="1" applyBorder="1" applyAlignment="1">
      <alignment horizontal="center" vertical="top" wrapText="1"/>
    </xf>
    <xf numFmtId="0" fontId="0" fillId="0" borderId="53" xfId="0" applyBorder="1" applyAlignment="1">
      <alignment wrapText="1"/>
    </xf>
    <xf numFmtId="0" fontId="0" fillId="0" borderId="50" xfId="0" applyBorder="1" applyAlignment="1">
      <alignment wrapText="1"/>
    </xf>
    <xf numFmtId="165" fontId="115" fillId="20" borderId="29" xfId="1" applyNumberFormat="1" applyFont="1" applyFill="1" applyBorder="1" applyAlignment="1">
      <alignment horizontal="center" vertical="center" wrapText="1"/>
    </xf>
    <xf numFmtId="0" fontId="116" fillId="20" borderId="29" xfId="0" applyFont="1" applyFill="1" applyBorder="1" applyAlignment="1">
      <alignment wrapText="1"/>
    </xf>
    <xf numFmtId="0" fontId="40" fillId="9" borderId="53" xfId="9" applyFont="1" applyFill="1" applyBorder="1" applyAlignment="1">
      <alignment horizontal="center" vertical="center" wrapText="1"/>
    </xf>
    <xf numFmtId="0" fontId="40" fillId="9" borderId="50" xfId="9" applyFont="1" applyFill="1" applyBorder="1" applyAlignment="1">
      <alignment horizontal="center" vertical="center" wrapText="1"/>
    </xf>
    <xf numFmtId="0" fontId="94" fillId="22" borderId="71" xfId="0" applyFont="1" applyFill="1" applyAlignment="1">
      <alignment horizontal="center" wrapText="1"/>
    </xf>
    <xf numFmtId="0" fontId="0" fillId="17" borderId="29" xfId="0" applyFill="1" applyBorder="1" applyAlignment="1">
      <alignment wrapText="1"/>
    </xf>
    <xf numFmtId="165" fontId="92" fillId="17" borderId="72" xfId="1" applyNumberFormat="1" applyFont="1" applyFill="1" applyBorder="1" applyAlignment="1">
      <alignment horizontal="center" vertical="center" wrapText="1"/>
    </xf>
    <xf numFmtId="0" fontId="0" fillId="17" borderId="28" xfId="0" applyFill="1" applyBorder="1" applyAlignment="1">
      <alignment wrapText="1"/>
    </xf>
    <xf numFmtId="0" fontId="0" fillId="17" borderId="61" xfId="0" applyFill="1" applyBorder="1" applyAlignment="1">
      <alignment wrapText="1"/>
    </xf>
    <xf numFmtId="0" fontId="101" fillId="20" borderId="49" xfId="0" applyFont="1" applyFill="1" applyBorder="1" applyAlignment="1">
      <alignment horizontal="center" wrapText="1"/>
    </xf>
    <xf numFmtId="0" fontId="101" fillId="20" borderId="53" xfId="0" applyFont="1" applyFill="1" applyBorder="1" applyAlignment="1">
      <alignment horizontal="center" wrapText="1"/>
    </xf>
    <xf numFmtId="14" fontId="80" fillId="17" borderId="8" xfId="1" applyNumberFormat="1" applyFont="1" applyFill="1" applyBorder="1" applyAlignment="1">
      <alignment horizontal="center" vertical="center" wrapText="1"/>
    </xf>
    <xf numFmtId="0" fontId="0" fillId="17" borderId="33" xfId="0" applyFill="1" applyBorder="1" applyAlignment="1">
      <alignment wrapText="1"/>
    </xf>
    <xf numFmtId="165" fontId="92" fillId="17" borderId="8" xfId="1" applyNumberFormat="1" applyFont="1" applyFill="1" applyBorder="1" applyAlignment="1">
      <alignment horizontal="center" vertical="center" wrapText="1"/>
    </xf>
    <xf numFmtId="165" fontId="41" fillId="10" borderId="49" xfId="1" applyNumberFormat="1" applyFont="1" applyFill="1" applyBorder="1" applyAlignment="1">
      <alignment horizontal="center" vertical="top" wrapText="1"/>
    </xf>
    <xf numFmtId="0" fontId="12" fillId="0" borderId="71" xfId="0" applyFont="1" applyAlignment="1">
      <alignment horizontal="center"/>
    </xf>
    <xf numFmtId="0" fontId="0" fillId="0" borderId="0" xfId="0" applyBorder="1"/>
    <xf numFmtId="165" fontId="113" fillId="21" borderId="2" xfId="1" applyNumberFormat="1" applyFont="1" applyFill="1" applyBorder="1" applyAlignment="1">
      <alignment horizontal="left" vertical="center" wrapText="1"/>
    </xf>
    <xf numFmtId="0" fontId="117" fillId="20" borderId="58" xfId="0" applyFont="1" applyFill="1" applyBorder="1" applyAlignment="1">
      <alignment horizontal="center" vertical="center" wrapText="1"/>
    </xf>
    <xf numFmtId="0" fontId="117" fillId="20" borderId="57" xfId="0" applyFont="1" applyFill="1" applyBorder="1" applyAlignment="1">
      <alignment horizontal="center" vertical="center" wrapText="1"/>
    </xf>
    <xf numFmtId="0" fontId="117" fillId="20" borderId="57" xfId="1" applyNumberFormat="1" applyFont="1" applyFill="1" applyBorder="1" applyAlignment="1">
      <alignment horizontal="center" vertical="center" wrapText="1"/>
    </xf>
    <xf numFmtId="0" fontId="117" fillId="20" borderId="56" xfId="1" applyNumberFormat="1" applyFont="1" applyFill="1" applyBorder="1" applyAlignment="1">
      <alignment horizontal="center" vertical="center" wrapText="1"/>
    </xf>
    <xf numFmtId="0" fontId="111" fillId="20" borderId="51" xfId="0" applyFont="1" applyFill="1" applyBorder="1" applyAlignment="1">
      <alignment horizontal="center" vertical="center" wrapText="1"/>
    </xf>
    <xf numFmtId="165" fontId="111" fillId="20" borderId="29" xfId="1" applyNumberFormat="1" applyFont="1" applyFill="1" applyBorder="1" applyAlignment="1">
      <alignment horizontal="center" vertical="center" wrapText="1"/>
    </xf>
    <xf numFmtId="3" fontId="112" fillId="20" borderId="29" xfId="1" applyNumberFormat="1" applyFont="1" applyFill="1" applyBorder="1" applyAlignment="1">
      <alignment horizontal="right" wrapText="1"/>
    </xf>
    <xf numFmtId="3" fontId="112" fillId="20" borderId="52" xfId="0" applyNumberFormat="1" applyFont="1" applyFill="1" applyBorder="1" applyAlignment="1">
      <alignment horizontal="right" wrapText="1"/>
    </xf>
    <xf numFmtId="0" fontId="117" fillId="20" borderId="2" xfId="0" applyFont="1" applyFill="1" applyBorder="1" applyAlignment="1">
      <alignment vertical="center" wrapText="1"/>
    </xf>
    <xf numFmtId="0" fontId="118" fillId="20" borderId="2" xfId="0" applyFont="1" applyFill="1" applyBorder="1" applyAlignment="1">
      <alignment horizontal="center" vertical="top" wrapText="1"/>
    </xf>
    <xf numFmtId="165" fontId="119" fillId="20" borderId="2" xfId="0" applyNumberFormat="1" applyFont="1" applyFill="1" applyBorder="1" applyAlignment="1">
      <alignment horizontal="center" vertical="center" wrapText="1"/>
    </xf>
    <xf numFmtId="0" fontId="119" fillId="20" borderId="2" xfId="0" applyFont="1" applyFill="1" applyBorder="1" applyAlignment="1">
      <alignment vertical="center" wrapText="1"/>
    </xf>
    <xf numFmtId="165" fontId="119" fillId="20" borderId="2" xfId="0" applyNumberFormat="1" applyFont="1" applyFill="1" applyBorder="1" applyAlignment="1">
      <alignment vertical="center" wrapText="1"/>
    </xf>
    <xf numFmtId="0" fontId="118" fillId="20" borderId="2" xfId="0" applyFont="1" applyFill="1" applyBorder="1" applyAlignment="1">
      <alignment vertical="center" wrapText="1"/>
    </xf>
    <xf numFmtId="3" fontId="118" fillId="20" borderId="2" xfId="0" applyNumberFormat="1" applyFont="1" applyFill="1" applyBorder="1" applyAlignment="1">
      <alignment horizontal="right" wrapText="1"/>
    </xf>
    <xf numFmtId="3" fontId="118" fillId="20" borderId="2" xfId="0" applyNumberFormat="1" applyFont="1" applyFill="1" applyBorder="1" applyAlignment="1">
      <alignment horizontal="right" vertical="center" wrapText="1"/>
    </xf>
    <xf numFmtId="0" fontId="111" fillId="20" borderId="58" xfId="0" applyFont="1" applyFill="1" applyBorder="1" applyAlignment="1">
      <alignment horizontal="center" vertical="center" wrapText="1"/>
    </xf>
    <xf numFmtId="0" fontId="111" fillId="20" borderId="57" xfId="0" applyFont="1" applyFill="1" applyBorder="1" applyAlignment="1">
      <alignment horizontal="center" wrapText="1"/>
    </xf>
    <xf numFmtId="0" fontId="111" fillId="20" borderId="56" xfId="0" applyFont="1" applyFill="1" applyBorder="1" applyAlignment="1">
      <alignment horizontal="center" wrapText="1"/>
    </xf>
    <xf numFmtId="0" fontId="100" fillId="20" borderId="2" xfId="0" applyFont="1" applyFill="1" applyBorder="1" applyAlignment="1">
      <alignment horizontal="center" vertical="center" wrapText="1"/>
    </xf>
    <xf numFmtId="165" fontId="113" fillId="20" borderId="2" xfId="1" applyNumberFormat="1" applyFont="1" applyFill="1" applyBorder="1" applyAlignment="1">
      <alignment horizontal="center" vertical="top" wrapText="1"/>
    </xf>
    <xf numFmtId="165" fontId="114" fillId="20" borderId="2" xfId="0" applyNumberFormat="1" applyFont="1" applyFill="1" applyBorder="1" applyAlignment="1">
      <alignment horizontal="center" vertical="center" wrapText="1"/>
    </xf>
    <xf numFmtId="165" fontId="113" fillId="20" borderId="2" xfId="1" applyNumberFormat="1" applyFont="1" applyFill="1" applyBorder="1" applyAlignment="1">
      <alignment horizontal="center" vertical="center" wrapText="1"/>
    </xf>
    <xf numFmtId="0" fontId="113" fillId="21" borderId="13" xfId="0" applyFont="1" applyFill="1" applyBorder="1" applyAlignment="1">
      <alignment vertical="center" wrapText="1"/>
    </xf>
    <xf numFmtId="3" fontId="113" fillId="21" borderId="13" xfId="0" applyNumberFormat="1" applyFont="1" applyFill="1" applyBorder="1" applyAlignment="1">
      <alignment horizontal="right" vertical="center" wrapText="1"/>
    </xf>
    <xf numFmtId="3" fontId="113" fillId="21" borderId="2" xfId="0" applyNumberFormat="1" applyFont="1" applyFill="1" applyBorder="1" applyAlignment="1">
      <alignment horizontal="right" vertical="center" wrapText="1"/>
    </xf>
    <xf numFmtId="0" fontId="113" fillId="21" borderId="2" xfId="0" applyFont="1" applyFill="1" applyBorder="1" applyAlignment="1">
      <alignment vertical="center" wrapText="1"/>
    </xf>
    <xf numFmtId="165" fontId="113" fillId="21" borderId="2" xfId="1" applyNumberFormat="1" applyFont="1" applyFill="1" applyBorder="1" applyAlignment="1">
      <alignment vertical="center" wrapText="1"/>
    </xf>
    <xf numFmtId="3" fontId="113" fillId="21" borderId="2" xfId="1" applyNumberFormat="1" applyFont="1" applyFill="1" applyBorder="1" applyAlignment="1">
      <alignment vertical="center" wrapText="1"/>
    </xf>
    <xf numFmtId="3" fontId="113" fillId="21" borderId="2" xfId="0" applyNumberFormat="1" applyFont="1" applyFill="1" applyBorder="1" applyAlignment="1">
      <alignment vertical="center" wrapText="1"/>
    </xf>
    <xf numFmtId="165" fontId="123" fillId="23" borderId="43" xfId="1" applyNumberFormat="1" applyFont="1" applyFill="1" applyBorder="1" applyAlignment="1">
      <alignment horizontal="center" vertical="center" wrapText="1"/>
    </xf>
    <xf numFmtId="3" fontId="123" fillId="23" borderId="71" xfId="1" applyNumberFormat="1" applyFont="1" applyFill="1" applyBorder="1" applyAlignment="1">
      <alignment horizontal="right" vertical="center" wrapText="1"/>
    </xf>
    <xf numFmtId="165" fontId="122" fillId="23" borderId="47" xfId="1" applyNumberFormat="1" applyFont="1" applyFill="1" applyBorder="1" applyAlignment="1">
      <alignment horizontal="center" vertical="center" wrapText="1"/>
    </xf>
    <xf numFmtId="3" fontId="122" fillId="23" borderId="1" xfId="1" applyNumberFormat="1" applyFont="1" applyFill="1" applyBorder="1" applyAlignment="1">
      <alignment horizontal="right" vertical="center" wrapText="1"/>
    </xf>
    <xf numFmtId="165" fontId="123" fillId="23" borderId="49" xfId="1" applyNumberFormat="1" applyFont="1" applyFill="1" applyBorder="1" applyAlignment="1">
      <alignment horizontal="center" vertical="center" wrapText="1"/>
    </xf>
    <xf numFmtId="49" fontId="123" fillId="23" borderId="26" xfId="1" applyNumberFormat="1" applyFont="1" applyFill="1" applyBorder="1" applyAlignment="1">
      <alignment horizontal="center" vertical="center" wrapText="1"/>
    </xf>
    <xf numFmtId="49" fontId="123" fillId="23" borderId="53" xfId="1" applyNumberFormat="1" applyFont="1" applyFill="1" applyBorder="1" applyAlignment="1">
      <alignment horizontal="center" vertical="center" wrapText="1"/>
    </xf>
    <xf numFmtId="49" fontId="123" fillId="23" borderId="75" xfId="1" applyNumberFormat="1" applyFont="1" applyFill="1" applyBorder="1" applyAlignment="1">
      <alignment horizontal="center" vertical="center" wrapText="1"/>
    </xf>
    <xf numFmtId="165" fontId="35" fillId="0" borderId="71" xfId="1" applyNumberFormat="1" applyFont="1" applyBorder="1" applyAlignment="1">
      <alignment horizontal="center" vertical="center" wrapText="1"/>
    </xf>
    <xf numFmtId="165" fontId="120" fillId="23" borderId="51" xfId="1" applyNumberFormat="1" applyFont="1" applyFill="1" applyBorder="1" applyAlignment="1">
      <alignment horizontal="center" vertical="center" wrapText="1"/>
    </xf>
    <xf numFmtId="165" fontId="120" fillId="23" borderId="29" xfId="1" applyNumberFormat="1" applyFont="1" applyFill="1" applyBorder="1" applyAlignment="1">
      <alignment horizontal="center" vertical="center" wrapText="1"/>
    </xf>
    <xf numFmtId="0" fontId="100" fillId="20" borderId="31" xfId="0" applyFont="1" applyFill="1" applyBorder="1" applyAlignment="1">
      <alignment horizontal="center" vertical="center" wrapText="1"/>
    </xf>
    <xf numFmtId="165" fontId="124" fillId="23" borderId="22" xfId="1" applyNumberFormat="1" applyFont="1" applyFill="1" applyBorder="1" applyAlignment="1">
      <alignment horizontal="center" vertical="center" wrapText="1"/>
    </xf>
    <xf numFmtId="165" fontId="35" fillId="23" borderId="54" xfId="1" applyNumberFormat="1" applyFont="1" applyFill="1" applyBorder="1" applyAlignment="1">
      <alignment horizontal="center" vertical="center" wrapText="1"/>
    </xf>
    <xf numFmtId="166" fontId="122" fillId="23" borderId="54" xfId="1" applyNumberFormat="1" applyFont="1" applyFill="1" applyBorder="1" applyAlignment="1">
      <alignment horizontal="center" vertical="center" wrapText="1"/>
    </xf>
    <xf numFmtId="3" fontId="123" fillId="23" borderId="1" xfId="1" applyNumberFormat="1" applyFont="1" applyFill="1" applyBorder="1" applyAlignment="1">
      <alignment horizontal="right" vertical="center" wrapText="1"/>
    </xf>
    <xf numFmtId="166" fontId="122" fillId="23" borderId="14" xfId="1" applyNumberFormat="1" applyFont="1" applyFill="1" applyBorder="1" applyAlignment="1">
      <alignment horizontal="center" vertical="center" wrapText="1"/>
    </xf>
    <xf numFmtId="165" fontId="35" fillId="0" borderId="71" xfId="1" applyNumberFormat="1" applyFont="1" applyBorder="1" applyAlignment="1">
      <alignment wrapText="1"/>
    </xf>
    <xf numFmtId="165" fontId="35" fillId="0" borderId="71" xfId="1" applyNumberFormat="1" applyFont="1" applyBorder="1" applyAlignment="1">
      <alignment wrapText="1"/>
    </xf>
    <xf numFmtId="165" fontId="42" fillId="19" borderId="71" xfId="1" applyNumberFormat="1" applyFont="1" applyFill="1" applyBorder="1" applyAlignment="1">
      <alignment horizontal="center" vertical="center" wrapText="1"/>
    </xf>
    <xf numFmtId="165" fontId="56" fillId="0" borderId="71" xfId="1" applyNumberFormat="1" applyFont="1" applyBorder="1" applyAlignment="1">
      <alignment horizontal="center" vertical="center" wrapText="1"/>
    </xf>
    <xf numFmtId="165" fontId="42" fillId="0" borderId="71" xfId="1" applyNumberFormat="1" applyFont="1" applyBorder="1" applyAlignment="1">
      <alignment horizontal="center" vertical="center" wrapText="1"/>
    </xf>
    <xf numFmtId="165" fontId="17" fillId="0" borderId="71" xfId="1" applyNumberFormat="1" applyFont="1" applyBorder="1" applyAlignment="1">
      <alignment wrapText="1"/>
    </xf>
    <xf numFmtId="165" fontId="79" fillId="0" borderId="71" xfId="1" applyNumberFormat="1" applyFont="1" applyBorder="1" applyAlignment="1">
      <alignment wrapText="1"/>
    </xf>
    <xf numFmtId="165" fontId="52" fillId="0" borderId="71" xfId="1" applyNumberFormat="1" applyFont="1" applyBorder="1" applyAlignment="1">
      <alignment wrapText="1"/>
    </xf>
    <xf numFmtId="165" fontId="70" fillId="0" borderId="71" xfId="1" applyNumberFormat="1" applyFont="1" applyBorder="1" applyAlignment="1">
      <alignment wrapText="1"/>
    </xf>
    <xf numFmtId="165" fontId="35" fillId="17" borderId="71" xfId="1" applyNumberFormat="1" applyFont="1" applyFill="1" applyBorder="1" applyAlignment="1">
      <alignment wrapText="1"/>
    </xf>
    <xf numFmtId="14" fontId="35" fillId="17" borderId="71" xfId="1" applyNumberFormat="1" applyFont="1" applyFill="1" applyBorder="1" applyAlignment="1">
      <alignment wrapText="1"/>
    </xf>
    <xf numFmtId="165" fontId="35" fillId="17" borderId="71" xfId="1" applyNumberFormat="1" applyFont="1" applyFill="1" applyBorder="1" applyAlignment="1">
      <alignment horizontal="center" vertical="center" wrapText="1"/>
    </xf>
    <xf numFmtId="0" fontId="93" fillId="0" borderId="71" xfId="0" applyFont="1" applyBorder="1" applyAlignment="1">
      <alignment wrapText="1"/>
    </xf>
    <xf numFmtId="165" fontId="125" fillId="23" borderId="29" xfId="1" applyNumberFormat="1" applyFont="1" applyFill="1" applyBorder="1" applyAlignment="1">
      <alignment horizontal="center" vertical="center" wrapText="1"/>
    </xf>
    <xf numFmtId="165" fontId="127" fillId="24" borderId="2" xfId="1" applyNumberFormat="1" applyFont="1" applyFill="1" applyBorder="1" applyAlignment="1">
      <alignment horizontal="left" vertical="center" wrapText="1"/>
    </xf>
    <xf numFmtId="165" fontId="127" fillId="24" borderId="2" xfId="1" applyNumberFormat="1" applyFont="1" applyFill="1" applyBorder="1" applyAlignment="1">
      <alignment horizontal="center" vertical="center" wrapText="1"/>
    </xf>
    <xf numFmtId="0" fontId="127" fillId="24" borderId="71" xfId="0" applyFont="1" applyFill="1" applyBorder="1" applyAlignment="1">
      <alignment wrapText="1"/>
    </xf>
    <xf numFmtId="3" fontId="127" fillId="24" borderId="71" xfId="1" applyNumberFormat="1" applyFont="1" applyFill="1" applyBorder="1" applyAlignment="1">
      <alignment horizontal="right" vertical="center" wrapText="1"/>
    </xf>
    <xf numFmtId="165" fontId="129" fillId="25" borderId="71" xfId="1" applyNumberFormat="1" applyFont="1" applyFill="1" applyBorder="1" applyAlignment="1">
      <alignment horizontal="center" vertical="center" wrapText="1"/>
    </xf>
    <xf numFmtId="165" fontId="129" fillId="25" borderId="71" xfId="1" applyNumberFormat="1" applyFont="1" applyFill="1" applyBorder="1" applyAlignment="1">
      <alignment horizontal="center" vertical="center" wrapText="1"/>
    </xf>
    <xf numFmtId="165" fontId="130" fillId="30" borderId="71" xfId="1" applyNumberFormat="1" applyFont="1" applyFill="1" applyBorder="1" applyAlignment="1">
      <alignment horizontal="center" vertical="center" wrapText="1"/>
    </xf>
    <xf numFmtId="165" fontId="130" fillId="30" borderId="77" xfId="1" applyNumberFormat="1" applyFont="1" applyFill="1" applyBorder="1" applyAlignment="1">
      <alignment horizontal="center" vertical="center" wrapText="1"/>
    </xf>
    <xf numFmtId="165" fontId="127" fillId="24" borderId="71" xfId="1" applyNumberFormat="1" applyFont="1" applyFill="1" applyBorder="1" applyAlignment="1">
      <alignment wrapText="1"/>
    </xf>
    <xf numFmtId="165" fontId="130" fillId="30" borderId="71" xfId="1" applyNumberFormat="1" applyFont="1" applyFill="1" applyBorder="1" applyAlignment="1">
      <alignment wrapText="1"/>
    </xf>
    <xf numFmtId="165" fontId="130" fillId="30" borderId="78" xfId="1" applyNumberFormat="1" applyFont="1" applyFill="1" applyBorder="1" applyAlignment="1">
      <alignment horizontal="center" vertical="center" wrapText="1"/>
    </xf>
    <xf numFmtId="165" fontId="130" fillId="30" borderId="77" xfId="1" applyNumberFormat="1" applyFont="1" applyFill="1" applyBorder="1" applyAlignment="1">
      <alignment wrapText="1"/>
    </xf>
    <xf numFmtId="165" fontId="126" fillId="29" borderId="82" xfId="1" applyNumberFormat="1" applyFont="1" applyFill="1" applyBorder="1" applyAlignment="1">
      <alignment wrapText="1"/>
    </xf>
    <xf numFmtId="165" fontId="126" fillId="29" borderId="83" xfId="1" applyNumberFormat="1" applyFont="1" applyFill="1" applyBorder="1" applyAlignment="1">
      <alignment wrapText="1"/>
    </xf>
    <xf numFmtId="165" fontId="127" fillId="24" borderId="71" xfId="1" applyNumberFormat="1" applyFont="1" applyFill="1" applyBorder="1" applyAlignment="1">
      <alignment horizontal="right" wrapText="1"/>
    </xf>
    <xf numFmtId="165" fontId="130" fillId="30" borderId="78" xfId="1" applyNumberFormat="1" applyFont="1" applyFill="1" applyBorder="1" applyAlignment="1">
      <alignment horizontal="right" vertical="center" wrapText="1"/>
    </xf>
    <xf numFmtId="165" fontId="130" fillId="30" borderId="78" xfId="1" applyNumberFormat="1" applyFont="1" applyFill="1" applyBorder="1" applyAlignment="1">
      <alignment horizontal="right" wrapText="1"/>
    </xf>
    <xf numFmtId="165" fontId="130" fillId="30" borderId="78" xfId="1" applyNumberFormat="1" applyFont="1" applyFill="1" applyBorder="1" applyAlignment="1">
      <alignment horizontal="right" vertical="center"/>
    </xf>
    <xf numFmtId="165" fontId="130" fillId="30" borderId="71" xfId="1" applyNumberFormat="1" applyFont="1" applyFill="1" applyBorder="1" applyAlignment="1">
      <alignment horizontal="right" wrapText="1"/>
    </xf>
    <xf numFmtId="165" fontId="126" fillId="29" borderId="83" xfId="1" applyNumberFormat="1" applyFont="1" applyFill="1" applyBorder="1" applyAlignment="1">
      <alignment horizontal="right" wrapText="1"/>
    </xf>
    <xf numFmtId="165" fontId="126" fillId="30" borderId="71" xfId="1" applyNumberFormat="1" applyFont="1" applyFill="1" applyBorder="1" applyAlignment="1">
      <alignment horizontal="right" wrapText="1"/>
    </xf>
    <xf numFmtId="165" fontId="130" fillId="30" borderId="71" xfId="1" applyNumberFormat="1" applyFont="1" applyFill="1" applyBorder="1" applyAlignment="1">
      <alignment horizontal="right" vertical="center" wrapText="1"/>
    </xf>
    <xf numFmtId="165" fontId="126" fillId="29" borderId="82" xfId="1" applyNumberFormat="1" applyFont="1" applyFill="1" applyBorder="1" applyAlignment="1">
      <alignment horizontal="right" wrapText="1"/>
    </xf>
    <xf numFmtId="0" fontId="128" fillId="25" borderId="71" xfId="0" applyFont="1" applyFill="1" applyBorder="1" applyAlignment="1">
      <alignment horizontal="left" wrapText="1"/>
    </xf>
    <xf numFmtId="165" fontId="128" fillId="25" borderId="71" xfId="1" applyNumberFormat="1" applyFont="1" applyFill="1" applyBorder="1" applyAlignment="1">
      <alignment horizontal="left" vertical="center" wrapText="1"/>
    </xf>
    <xf numFmtId="165" fontId="126" fillId="29" borderId="83" xfId="1" applyNumberFormat="1" applyFont="1" applyFill="1" applyBorder="1" applyAlignment="1">
      <alignment vertical="center" wrapText="1"/>
    </xf>
    <xf numFmtId="165" fontId="126" fillId="29" borderId="83" xfId="1" applyNumberFormat="1" applyFont="1" applyFill="1" applyBorder="1" applyAlignment="1">
      <alignment horizontal="center" vertical="center" wrapText="1"/>
    </xf>
    <xf numFmtId="165" fontId="130" fillId="30" borderId="71" xfId="0" applyNumberFormat="1" applyFont="1" applyFill="1" applyBorder="1" applyAlignment="1">
      <alignment horizontal="center" vertical="center" wrapText="1"/>
    </xf>
    <xf numFmtId="165" fontId="131" fillId="24" borderId="71" xfId="1" applyNumberFormat="1" applyFont="1" applyFill="1" applyBorder="1" applyAlignment="1">
      <alignment wrapText="1"/>
    </xf>
    <xf numFmtId="165" fontId="132" fillId="30" borderId="78" xfId="1" applyNumberFormat="1" applyFont="1" applyFill="1" applyBorder="1" applyAlignment="1">
      <alignment horizontal="center" vertical="center" wrapText="1"/>
    </xf>
    <xf numFmtId="165" fontId="132" fillId="30" borderId="71" xfId="1" applyNumberFormat="1" applyFont="1" applyFill="1" applyBorder="1" applyAlignment="1">
      <alignment wrapText="1"/>
    </xf>
    <xf numFmtId="165" fontId="132" fillId="29" borderId="83" xfId="1" applyNumberFormat="1" applyFont="1" applyFill="1" applyBorder="1" applyAlignment="1">
      <alignment wrapText="1"/>
    </xf>
    <xf numFmtId="165" fontId="132" fillId="30" borderId="71" xfId="1" applyNumberFormat="1" applyFont="1" applyFill="1" applyBorder="1" applyAlignment="1">
      <alignment horizontal="center" vertical="center" wrapText="1"/>
    </xf>
    <xf numFmtId="165" fontId="132" fillId="29" borderId="82" xfId="1" applyNumberFormat="1" applyFont="1" applyFill="1" applyBorder="1" applyAlignment="1">
      <alignment wrapText="1"/>
    </xf>
    <xf numFmtId="165" fontId="128" fillId="33" borderId="71" xfId="1" applyNumberFormat="1" applyFont="1" applyFill="1" applyBorder="1" applyAlignment="1">
      <alignment horizontal="center" vertical="center" wrapText="1"/>
    </xf>
    <xf numFmtId="0" fontId="128" fillId="33" borderId="71" xfId="0" applyFont="1" applyFill="1" applyBorder="1" applyAlignment="1">
      <alignment wrapText="1"/>
    </xf>
    <xf numFmtId="0" fontId="128" fillId="33" borderId="71" xfId="0" applyFont="1" applyFill="1" applyBorder="1" applyAlignment="1">
      <alignment horizontal="center" wrapText="1"/>
    </xf>
    <xf numFmtId="3" fontId="128" fillId="33" borderId="71" xfId="0" applyNumberFormat="1" applyFont="1" applyFill="1" applyBorder="1" applyAlignment="1">
      <alignment horizontal="right" wrapText="1"/>
    </xf>
    <xf numFmtId="165" fontId="127" fillId="24" borderId="71" xfId="1" applyNumberFormat="1" applyFont="1" applyFill="1" applyBorder="1" applyAlignment="1">
      <alignment horizontal="center" vertical="center" wrapText="1"/>
    </xf>
    <xf numFmtId="0" fontId="128" fillId="25" borderId="71" xfId="9" applyFont="1" applyFill="1" applyBorder="1" applyAlignment="1">
      <alignment horizontal="left" vertical="center" wrapText="1"/>
    </xf>
    <xf numFmtId="165" fontId="128" fillId="25" borderId="71" xfId="1" applyNumberFormat="1" applyFont="1" applyFill="1" applyBorder="1" applyAlignment="1">
      <alignment wrapText="1"/>
    </xf>
    <xf numFmtId="165" fontId="128" fillId="25" borderId="71" xfId="1" applyNumberFormat="1" applyFont="1" applyFill="1" applyBorder="1" applyAlignment="1">
      <alignment wrapText="1"/>
    </xf>
    <xf numFmtId="165" fontId="133" fillId="0" borderId="0" xfId="1" applyNumberFormat="1" applyFont="1" applyBorder="1" applyAlignment="1">
      <alignment wrapText="1"/>
    </xf>
    <xf numFmtId="0" fontId="134" fillId="24" borderId="71" xfId="2" applyFont="1" applyFill="1" applyBorder="1" applyAlignment="1">
      <alignment horizontal="center" vertical="center" wrapText="1"/>
    </xf>
    <xf numFmtId="9" fontId="128" fillId="26" borderId="71" xfId="9" applyNumberFormat="1" applyFont="1" applyFill="1" applyBorder="1" applyAlignment="1">
      <alignment horizontal="center" vertical="center" wrapText="1"/>
    </xf>
    <xf numFmtId="165" fontId="128" fillId="26" borderId="71" xfId="1" applyNumberFormat="1" applyFont="1" applyFill="1" applyBorder="1" applyAlignment="1">
      <alignment horizontal="center" wrapText="1"/>
    </xf>
    <xf numFmtId="0" fontId="128" fillId="26" borderId="71" xfId="9" applyFont="1" applyFill="1" applyBorder="1" applyAlignment="1">
      <alignment horizontal="center" vertical="center" wrapText="1"/>
    </xf>
    <xf numFmtId="49" fontId="128" fillId="26" borderId="71" xfId="9" applyNumberFormat="1" applyFont="1" applyFill="1" applyBorder="1" applyAlignment="1">
      <alignment horizontal="center" vertical="center" wrapText="1"/>
    </xf>
    <xf numFmtId="165" fontId="127" fillId="24" borderId="71" xfId="1" applyNumberFormat="1" applyFont="1" applyFill="1" applyBorder="1" applyAlignment="1">
      <alignment vertical="top" wrapText="1"/>
    </xf>
    <xf numFmtId="165" fontId="135" fillId="24" borderId="71" xfId="1" applyNumberFormat="1" applyFont="1" applyFill="1" applyBorder="1" applyAlignment="1">
      <alignment horizontal="center" vertical="top" wrapText="1"/>
    </xf>
    <xf numFmtId="165" fontId="135" fillId="27" borderId="71" xfId="1" applyNumberFormat="1" applyFont="1" applyFill="1" applyBorder="1" applyAlignment="1">
      <alignment horizontal="center" vertical="top" wrapText="1"/>
    </xf>
    <xf numFmtId="0" fontId="135" fillId="27" borderId="71" xfId="0" applyFont="1" applyFill="1" applyBorder="1" applyAlignment="1">
      <alignment horizontal="center" wrapText="1"/>
    </xf>
    <xf numFmtId="0" fontId="135" fillId="28" borderId="71" xfId="0" applyFont="1" applyFill="1" applyBorder="1" applyAlignment="1">
      <alignment horizontal="center" vertical="top" wrapText="1"/>
    </xf>
    <xf numFmtId="0" fontId="135" fillId="28" borderId="71" xfId="0" applyFont="1" applyFill="1" applyBorder="1" applyAlignment="1">
      <alignment horizontal="center" wrapText="1"/>
    </xf>
    <xf numFmtId="17" fontId="135" fillId="24" borderId="71" xfId="0" applyNumberFormat="1" applyFont="1" applyFill="1" applyBorder="1" applyAlignment="1">
      <alignment horizontal="center" vertical="top" wrapText="1"/>
    </xf>
    <xf numFmtId="165" fontId="135" fillId="27" borderId="71" xfId="1" applyNumberFormat="1" applyFont="1" applyFill="1" applyBorder="1" applyAlignment="1">
      <alignment horizontal="center" vertical="top" wrapText="1"/>
    </xf>
    <xf numFmtId="165" fontId="135" fillId="28" borderId="71" xfId="1" applyNumberFormat="1" applyFont="1" applyFill="1" applyBorder="1" applyAlignment="1">
      <alignment horizontal="center" vertical="top"/>
    </xf>
    <xf numFmtId="165" fontId="133" fillId="0" borderId="0" xfId="1" applyNumberFormat="1" applyFont="1" applyBorder="1" applyAlignment="1">
      <alignment vertical="top" wrapText="1"/>
    </xf>
    <xf numFmtId="165" fontId="136" fillId="29" borderId="76" xfId="1" applyNumberFormat="1" applyFont="1" applyFill="1" applyBorder="1" applyAlignment="1">
      <alignment horizontal="center" vertical="center" wrapText="1"/>
    </xf>
    <xf numFmtId="165" fontId="132" fillId="29" borderId="76" xfId="1" applyNumberFormat="1" applyFont="1" applyFill="1" applyBorder="1" applyAlignment="1">
      <alignment horizontal="center" vertical="center" wrapText="1"/>
    </xf>
    <xf numFmtId="165" fontId="136" fillId="29" borderId="76" xfId="1" applyNumberFormat="1" applyFont="1" applyFill="1" applyBorder="1" applyAlignment="1">
      <alignment horizontal="center" wrapText="1"/>
    </xf>
    <xf numFmtId="0" fontId="136" fillId="29" borderId="76" xfId="0" applyFont="1" applyFill="1" applyBorder="1" applyAlignment="1">
      <alignment horizontal="center" wrapText="1"/>
    </xf>
    <xf numFmtId="165" fontId="132" fillId="30" borderId="77" xfId="1" applyNumberFormat="1" applyFont="1" applyFill="1" applyBorder="1" applyAlignment="1">
      <alignment horizontal="center" vertical="center" wrapText="1"/>
    </xf>
    <xf numFmtId="165" fontId="130" fillId="30" borderId="77" xfId="1" applyNumberFormat="1" applyFont="1" applyFill="1" applyBorder="1"/>
    <xf numFmtId="165" fontId="131" fillId="24" borderId="71" xfId="1" applyNumberFormat="1" applyFont="1" applyFill="1" applyBorder="1" applyAlignment="1">
      <alignment horizontal="center" vertical="center" wrapText="1"/>
    </xf>
    <xf numFmtId="165" fontId="127" fillId="24" borderId="71" xfId="1" applyNumberFormat="1" applyFont="1" applyFill="1" applyBorder="1"/>
    <xf numFmtId="165" fontId="127" fillId="24" borderId="79" xfId="1" applyNumberFormat="1" applyFont="1" applyFill="1" applyBorder="1" applyAlignment="1">
      <alignment wrapText="1"/>
    </xf>
    <xf numFmtId="165" fontId="131" fillId="24" borderId="79" xfId="1" applyNumberFormat="1" applyFont="1" applyFill="1" applyBorder="1" applyAlignment="1">
      <alignment wrapText="1"/>
    </xf>
    <xf numFmtId="165" fontId="127" fillId="24" borderId="79" xfId="1" applyNumberFormat="1" applyFont="1" applyFill="1" applyBorder="1" applyAlignment="1">
      <alignment horizontal="right" wrapText="1"/>
    </xf>
    <xf numFmtId="165" fontId="137" fillId="24" borderId="81" xfId="1" applyNumberFormat="1" applyFont="1" applyFill="1" applyBorder="1" applyAlignment="1">
      <alignment wrapText="1"/>
    </xf>
    <xf numFmtId="165" fontId="131" fillId="24" borderId="81" xfId="1" applyNumberFormat="1" applyFont="1" applyFill="1" applyBorder="1" applyAlignment="1">
      <alignment wrapText="1"/>
    </xf>
    <xf numFmtId="165" fontId="127" fillId="24" borderId="81" xfId="1" applyNumberFormat="1" applyFont="1" applyFill="1" applyBorder="1" applyAlignment="1">
      <alignment horizontal="right" wrapText="1"/>
    </xf>
    <xf numFmtId="165" fontId="137" fillId="24" borderId="80" xfId="1" applyNumberFormat="1" applyFont="1" applyFill="1" applyBorder="1" applyAlignment="1">
      <alignment wrapText="1"/>
    </xf>
    <xf numFmtId="165" fontId="131" fillId="24" borderId="80" xfId="1" applyNumberFormat="1" applyFont="1" applyFill="1" applyBorder="1" applyAlignment="1">
      <alignment wrapText="1"/>
    </xf>
    <xf numFmtId="165" fontId="127" fillId="24" borderId="80" xfId="1" applyNumberFormat="1" applyFont="1" applyFill="1" applyBorder="1" applyAlignment="1">
      <alignment horizontal="right" wrapText="1"/>
    </xf>
    <xf numFmtId="165" fontId="127" fillId="24" borderId="81" xfId="1" applyNumberFormat="1" applyFont="1" applyFill="1" applyBorder="1" applyAlignment="1">
      <alignment wrapText="1"/>
    </xf>
    <xf numFmtId="0" fontId="127" fillId="24" borderId="81" xfId="0" applyFont="1" applyFill="1" applyBorder="1" applyAlignment="1">
      <alignment horizontal="right"/>
    </xf>
    <xf numFmtId="165" fontId="127" fillId="24" borderId="81" xfId="1" applyNumberFormat="1" applyFont="1" applyFill="1" applyBorder="1" applyAlignment="1">
      <alignment horizontal="right"/>
    </xf>
    <xf numFmtId="165" fontId="127" fillId="24" borderId="79" xfId="1" applyNumberFormat="1" applyFont="1" applyFill="1" applyBorder="1" applyAlignment="1">
      <alignment horizontal="right"/>
    </xf>
    <xf numFmtId="9" fontId="137" fillId="24" borderId="81" xfId="7" applyFont="1" applyFill="1" applyBorder="1" applyAlignment="1">
      <alignment wrapText="1"/>
    </xf>
    <xf numFmtId="165" fontId="137" fillId="24" borderId="84" xfId="1" applyNumberFormat="1" applyFont="1" applyFill="1" applyBorder="1" applyAlignment="1">
      <alignment wrapText="1"/>
    </xf>
    <xf numFmtId="165" fontId="137" fillId="24" borderId="84" xfId="1" applyNumberFormat="1" applyFont="1" applyFill="1" applyBorder="1" applyAlignment="1">
      <alignment horizontal="right" wrapText="1"/>
    </xf>
    <xf numFmtId="9" fontId="127" fillId="24" borderId="79" xfId="7" applyFont="1" applyFill="1" applyBorder="1" applyAlignment="1">
      <alignment wrapText="1"/>
    </xf>
    <xf numFmtId="9" fontId="127" fillId="24" borderId="81" xfId="7" applyFont="1" applyFill="1" applyBorder="1" applyAlignment="1">
      <alignment wrapText="1"/>
    </xf>
    <xf numFmtId="165" fontId="126" fillId="24" borderId="81" xfId="1" applyNumberFormat="1" applyFont="1" applyFill="1" applyBorder="1" applyAlignment="1">
      <alignment wrapText="1"/>
    </xf>
    <xf numFmtId="165" fontId="138" fillId="0" borderId="0" xfId="1" applyNumberFormat="1" applyFont="1" applyBorder="1" applyAlignment="1">
      <alignment wrapText="1"/>
    </xf>
    <xf numFmtId="165" fontId="126" fillId="24" borderId="80" xfId="1" applyNumberFormat="1" applyFont="1" applyFill="1" applyBorder="1" applyAlignment="1">
      <alignment wrapText="1"/>
    </xf>
    <xf numFmtId="165" fontId="127" fillId="24" borderId="80" xfId="1" applyNumberFormat="1" applyFont="1" applyFill="1" applyBorder="1" applyAlignment="1">
      <alignment wrapText="1"/>
    </xf>
    <xf numFmtId="165" fontId="121" fillId="0" borderId="0" xfId="1" applyNumberFormat="1" applyFont="1" applyBorder="1" applyAlignment="1">
      <alignment wrapText="1"/>
    </xf>
    <xf numFmtId="165" fontId="139" fillId="0" borderId="0" xfId="1" applyNumberFormat="1" applyFont="1" applyBorder="1" applyAlignment="1">
      <alignment wrapText="1"/>
    </xf>
    <xf numFmtId="165" fontId="128" fillId="31" borderId="71" xfId="1" applyNumberFormat="1" applyFont="1" applyFill="1" applyBorder="1" applyAlignment="1">
      <alignment horizontal="center" vertical="center" wrapText="1"/>
    </xf>
    <xf numFmtId="0" fontId="128" fillId="31" borderId="71" xfId="0" applyFont="1" applyFill="1" applyBorder="1" applyAlignment="1">
      <alignment wrapText="1"/>
    </xf>
    <xf numFmtId="165" fontId="128" fillId="31" borderId="71" xfId="1" applyNumberFormat="1" applyFont="1" applyFill="1" applyBorder="1" applyAlignment="1">
      <alignment wrapText="1"/>
    </xf>
    <xf numFmtId="14" fontId="127" fillId="24" borderId="71" xfId="1" applyNumberFormat="1" applyFont="1" applyFill="1" applyBorder="1" applyAlignment="1">
      <alignment wrapText="1"/>
    </xf>
    <xf numFmtId="14" fontId="140" fillId="32" borderId="86" xfId="1" applyNumberFormat="1" applyFont="1" applyFill="1" applyBorder="1" applyAlignment="1">
      <alignment horizontal="center" vertical="center" wrapText="1"/>
    </xf>
    <xf numFmtId="14" fontId="140" fillId="32" borderId="86" xfId="1" applyNumberFormat="1" applyFont="1" applyFill="1" applyBorder="1" applyAlignment="1">
      <alignment horizontal="center" vertical="center" wrapText="1"/>
    </xf>
    <xf numFmtId="0" fontId="140" fillId="32" borderId="86" xfId="0" applyFont="1" applyFill="1" applyBorder="1" applyAlignment="1">
      <alignment wrapText="1"/>
    </xf>
    <xf numFmtId="14" fontId="140" fillId="32" borderId="86" xfId="1" applyNumberFormat="1" applyFont="1" applyFill="1" applyBorder="1" applyAlignment="1">
      <alignment wrapText="1"/>
    </xf>
    <xf numFmtId="165" fontId="140" fillId="32" borderId="86" xfId="1" applyNumberFormat="1" applyFont="1" applyFill="1" applyBorder="1" applyAlignment="1">
      <alignment horizontal="center" vertical="center" wrapText="1"/>
    </xf>
    <xf numFmtId="165" fontId="140" fillId="32" borderId="86" xfId="1" applyNumberFormat="1" applyFont="1" applyFill="1" applyBorder="1" applyAlignment="1">
      <alignment horizontal="center" vertical="center" wrapText="1"/>
    </xf>
    <xf numFmtId="14" fontId="127" fillId="24" borderId="71" xfId="1" applyNumberFormat="1" applyFont="1" applyFill="1" applyBorder="1" applyAlignment="1">
      <alignment horizontal="center" vertical="center" wrapText="1"/>
    </xf>
    <xf numFmtId="14" fontId="133" fillId="0" borderId="0" xfId="1" applyNumberFormat="1" applyFont="1" applyBorder="1" applyAlignment="1">
      <alignment wrapText="1"/>
    </xf>
    <xf numFmtId="165" fontId="140" fillId="32" borderId="87" xfId="1" applyNumberFormat="1" applyFont="1" applyFill="1" applyBorder="1" applyAlignment="1">
      <alignment horizontal="center" vertical="center" wrapText="1"/>
    </xf>
    <xf numFmtId="165" fontId="133" fillId="0" borderId="0" xfId="1" applyNumberFormat="1" applyFont="1" applyBorder="1" applyAlignment="1">
      <alignment horizontal="center" vertical="center" wrapText="1"/>
    </xf>
    <xf numFmtId="165" fontId="127" fillId="24" borderId="79" xfId="1" applyNumberFormat="1" applyFont="1" applyFill="1" applyBorder="1" applyAlignment="1">
      <alignment horizontal="center" vertical="center" wrapText="1"/>
    </xf>
    <xf numFmtId="165" fontId="127" fillId="24" borderId="81" xfId="1" applyNumberFormat="1" applyFont="1" applyFill="1" applyBorder="1" applyAlignment="1">
      <alignment horizontal="left" vertical="center" wrapText="1"/>
    </xf>
    <xf numFmtId="165" fontId="127" fillId="24" borderId="81" xfId="1" applyNumberFormat="1" applyFont="1" applyFill="1" applyBorder="1" applyAlignment="1">
      <alignment vertical="center" wrapText="1"/>
    </xf>
    <xf numFmtId="165" fontId="127" fillId="24" borderId="81" xfId="1" applyNumberFormat="1" applyFont="1" applyFill="1" applyBorder="1" applyAlignment="1">
      <alignment horizontal="center" vertical="center" wrapText="1"/>
    </xf>
    <xf numFmtId="165" fontId="126" fillId="24" borderId="88" xfId="1" applyNumberFormat="1" applyFont="1" applyFill="1" applyBorder="1" applyAlignment="1">
      <alignment horizontal="left" vertical="center" wrapText="1"/>
    </xf>
    <xf numFmtId="165" fontId="126" fillId="24" borderId="88" xfId="1" applyNumberFormat="1" applyFont="1" applyFill="1" applyBorder="1" applyAlignment="1">
      <alignment horizontal="center" vertical="center" wrapText="1"/>
    </xf>
    <xf numFmtId="165" fontId="126" fillId="24" borderId="88" xfId="1" applyNumberFormat="1" applyFont="1" applyFill="1" applyBorder="1" applyAlignment="1">
      <alignment vertical="center" wrapText="1"/>
    </xf>
    <xf numFmtId="165" fontId="142" fillId="0" borderId="71" xfId="1" applyNumberFormat="1" applyFont="1" applyAlignment="1">
      <alignment horizontal="center" vertical="center" wrapText="1"/>
    </xf>
    <xf numFmtId="165" fontId="127" fillId="24" borderId="71" xfId="1" applyNumberFormat="1" applyFont="1" applyFill="1" applyBorder="1" applyAlignment="1">
      <alignment horizontal="left" vertical="center" wrapText="1"/>
    </xf>
    <xf numFmtId="165" fontId="127" fillId="24" borderId="71" xfId="1" applyNumberFormat="1" applyFont="1" applyFill="1" applyBorder="1" applyAlignment="1">
      <alignment vertical="center" wrapText="1"/>
    </xf>
    <xf numFmtId="165" fontId="128" fillId="31" borderId="71" xfId="1" applyNumberFormat="1" applyFont="1" applyFill="1" applyBorder="1" applyAlignment="1">
      <alignment horizontal="center" vertical="center" wrapText="1"/>
    </xf>
    <xf numFmtId="165" fontId="140" fillId="32" borderId="71" xfId="1" applyNumberFormat="1" applyFont="1" applyFill="1" applyBorder="1" applyAlignment="1">
      <alignment horizontal="center" vertical="center" wrapText="1"/>
    </xf>
    <xf numFmtId="165" fontId="140" fillId="32" borderId="71" xfId="1" applyNumberFormat="1" applyFont="1" applyFill="1" applyBorder="1" applyAlignment="1">
      <alignment horizontal="center" vertical="center" wrapText="1"/>
    </xf>
    <xf numFmtId="0" fontId="140" fillId="32" borderId="71" xfId="0" applyFont="1" applyFill="1" applyBorder="1" applyAlignment="1">
      <alignment wrapText="1"/>
    </xf>
    <xf numFmtId="0" fontId="143" fillId="27" borderId="89" xfId="0" applyFont="1" applyFill="1" applyBorder="1" applyAlignment="1">
      <alignment horizontal="center" vertical="center" wrapText="1"/>
    </xf>
    <xf numFmtId="0" fontId="143" fillId="27" borderId="89" xfId="1" applyNumberFormat="1" applyFont="1" applyFill="1" applyBorder="1" applyAlignment="1">
      <alignment horizontal="center" vertical="center" wrapText="1"/>
    </xf>
    <xf numFmtId="0" fontId="130" fillId="30" borderId="71" xfId="0" applyFont="1" applyFill="1" applyBorder="1" applyAlignment="1">
      <alignment horizontal="center" vertical="center" wrapText="1"/>
    </xf>
    <xf numFmtId="0" fontId="143" fillId="24" borderId="82" xfId="0" applyFont="1" applyFill="1" applyBorder="1" applyAlignment="1">
      <alignment vertical="center" wrapText="1"/>
    </xf>
    <xf numFmtId="0" fontId="127" fillId="24" borderId="82" xfId="0" applyFont="1" applyFill="1" applyBorder="1" applyAlignment="1">
      <alignment horizontal="center" vertical="top" wrapText="1"/>
    </xf>
    <xf numFmtId="165" fontId="127" fillId="24" borderId="82" xfId="0" applyNumberFormat="1" applyFont="1" applyFill="1" applyBorder="1" applyAlignment="1">
      <alignment horizontal="right" vertical="center" wrapText="1"/>
    </xf>
    <xf numFmtId="0" fontId="127" fillId="24" borderId="82" xfId="0" applyFont="1" applyFill="1" applyBorder="1" applyAlignment="1">
      <alignment horizontal="right" vertical="center" wrapText="1"/>
    </xf>
    <xf numFmtId="0" fontId="126" fillId="24" borderId="82" xfId="0" applyFont="1" applyFill="1" applyBorder="1" applyAlignment="1">
      <alignment vertical="center" wrapText="1"/>
    </xf>
    <xf numFmtId="3" fontId="127" fillId="24" borderId="82" xfId="0" applyNumberFormat="1" applyFont="1" applyFill="1" applyBorder="1" applyAlignment="1">
      <alignment horizontal="right" vertical="center" wrapText="1"/>
    </xf>
    <xf numFmtId="165" fontId="127" fillId="24" borderId="82" xfId="1" applyNumberFormat="1" applyFont="1" applyFill="1" applyBorder="1" applyAlignment="1">
      <alignment horizontal="center" vertical="center" wrapText="1"/>
    </xf>
    <xf numFmtId="0" fontId="143" fillId="24" borderId="81" xfId="0" applyFont="1" applyFill="1" applyBorder="1" applyAlignment="1">
      <alignment vertical="center" wrapText="1"/>
    </xf>
    <xf numFmtId="0" fontId="127" fillId="24" borderId="81" xfId="0" applyFont="1" applyFill="1" applyBorder="1" applyAlignment="1">
      <alignment vertical="center" wrapText="1"/>
    </xf>
    <xf numFmtId="3" fontId="127" fillId="24" borderId="81" xfId="0" applyNumberFormat="1" applyFont="1" applyFill="1" applyBorder="1" applyAlignment="1">
      <alignment horizontal="right" wrapText="1"/>
    </xf>
    <xf numFmtId="165" fontId="126" fillId="24" borderId="80" xfId="1" applyNumberFormat="1" applyFont="1" applyFill="1" applyBorder="1" applyAlignment="1">
      <alignment horizontal="left" vertical="center" wrapText="1"/>
    </xf>
    <xf numFmtId="3" fontId="127" fillId="24" borderId="80" xfId="0" applyNumberFormat="1" applyFont="1" applyFill="1" applyBorder="1" applyAlignment="1">
      <alignment horizontal="right" vertical="center" wrapText="1"/>
    </xf>
    <xf numFmtId="165" fontId="127" fillId="24" borderId="80" xfId="1" applyNumberFormat="1" applyFont="1" applyFill="1" applyBorder="1" applyAlignment="1">
      <alignment horizontal="center" vertical="center" wrapText="1"/>
    </xf>
    <xf numFmtId="3" fontId="127" fillId="24" borderId="81" xfId="0" applyNumberFormat="1" applyFont="1" applyFill="1" applyBorder="1" applyAlignment="1">
      <alignment horizontal="right" vertical="center" wrapText="1"/>
    </xf>
    <xf numFmtId="0" fontId="127" fillId="24" borderId="71" xfId="0" applyFont="1" applyFill="1" applyBorder="1" applyAlignment="1">
      <alignment vertical="center" wrapText="1"/>
    </xf>
    <xf numFmtId="3" fontId="127" fillId="24" borderId="71" xfId="1" applyNumberFormat="1" applyFont="1" applyFill="1" applyBorder="1" applyAlignment="1">
      <alignment vertical="center" wrapText="1"/>
    </xf>
    <xf numFmtId="0" fontId="126" fillId="29" borderId="90" xfId="0" applyFont="1" applyFill="1" applyBorder="1" applyAlignment="1">
      <alignment horizontal="center" vertical="center" wrapText="1"/>
    </xf>
    <xf numFmtId="165" fontId="126" fillId="29" borderId="90" xfId="1" applyNumberFormat="1" applyFont="1" applyFill="1" applyBorder="1" applyAlignment="1">
      <alignment horizontal="center" vertical="center" wrapText="1"/>
    </xf>
    <xf numFmtId="3" fontId="126" fillId="29" borderId="90" xfId="1" applyNumberFormat="1" applyFont="1" applyFill="1" applyBorder="1" applyAlignment="1">
      <alignment horizontal="right" wrapText="1"/>
    </xf>
    <xf numFmtId="3" fontId="126" fillId="29" borderId="90" xfId="0" applyNumberFormat="1" applyFont="1" applyFill="1" applyBorder="1" applyAlignment="1">
      <alignment horizontal="right" wrapText="1"/>
    </xf>
    <xf numFmtId="0" fontId="126" fillId="29" borderId="85" xfId="0" applyFont="1" applyFill="1" applyBorder="1" applyAlignment="1">
      <alignment vertical="center" wrapText="1"/>
    </xf>
    <xf numFmtId="3" fontId="126" fillId="29" borderId="85" xfId="0" applyNumberFormat="1" applyFont="1" applyFill="1" applyBorder="1" applyAlignment="1">
      <alignment horizontal="right" vertical="center" wrapText="1"/>
    </xf>
    <xf numFmtId="165" fontId="126" fillId="29" borderId="85" xfId="1" applyNumberFormat="1" applyFont="1" applyFill="1" applyBorder="1" applyAlignment="1">
      <alignment horizontal="center" vertical="center" wrapText="1"/>
    </xf>
    <xf numFmtId="3" fontId="127" fillId="24" borderId="71" xfId="0" applyNumberFormat="1" applyFont="1" applyFill="1" applyBorder="1" applyAlignment="1">
      <alignment vertical="center" wrapText="1"/>
    </xf>
    <xf numFmtId="0" fontId="143" fillId="27" borderId="89" xfId="0" applyFont="1" applyFill="1" applyBorder="1" applyAlignment="1">
      <alignment horizontal="center" wrapText="1"/>
    </xf>
    <xf numFmtId="0" fontId="126" fillId="24" borderId="82" xfId="0" applyFont="1" applyFill="1" applyBorder="1" applyAlignment="1">
      <alignment horizontal="center" vertical="center" wrapText="1"/>
    </xf>
    <xf numFmtId="165" fontId="127" fillId="24" borderId="82" xfId="1" applyNumberFormat="1" applyFont="1" applyFill="1" applyBorder="1" applyAlignment="1">
      <alignment horizontal="center" vertical="top" wrapText="1"/>
    </xf>
    <xf numFmtId="0" fontId="126" fillId="24" borderId="81" xfId="0" applyFont="1" applyFill="1" applyBorder="1" applyAlignment="1">
      <alignment horizontal="center" vertical="center" wrapText="1"/>
    </xf>
    <xf numFmtId="165" fontId="127" fillId="24" borderId="81" xfId="0" applyNumberFormat="1" applyFont="1" applyFill="1" applyBorder="1" applyAlignment="1">
      <alignment horizontal="right" vertical="center" wrapText="1"/>
    </xf>
    <xf numFmtId="165" fontId="128" fillId="34" borderId="71" xfId="1" applyNumberFormat="1" applyFont="1" applyFill="1" applyBorder="1" applyAlignment="1">
      <alignment horizontal="center" vertical="center" wrapText="1"/>
    </xf>
    <xf numFmtId="0" fontId="127" fillId="24" borderId="71" xfId="0" applyFont="1" applyFill="1" applyBorder="1"/>
    <xf numFmtId="165" fontId="144" fillId="35" borderId="71" xfId="1" applyNumberFormat="1" applyFont="1" applyFill="1" applyBorder="1" applyAlignment="1">
      <alignment horizontal="center" vertical="center" wrapText="1"/>
    </xf>
    <xf numFmtId="165" fontId="133" fillId="0" borderId="71" xfId="1" applyNumberFormat="1" applyFont="1" applyBorder="1" applyAlignment="1">
      <alignment horizontal="center" vertical="center" wrapText="1"/>
    </xf>
    <xf numFmtId="165" fontId="127" fillId="24" borderId="81" xfId="0" applyNumberFormat="1" applyFont="1" applyFill="1" applyBorder="1" applyAlignment="1">
      <alignment horizontal="center" vertical="center" wrapText="1"/>
    </xf>
    <xf numFmtId="0" fontId="127" fillId="24" borderId="71" xfId="0" applyFont="1" applyFill="1" applyBorder="1" applyAlignment="1">
      <alignment horizontal="center" vertical="center" wrapText="1"/>
    </xf>
    <xf numFmtId="3" fontId="127" fillId="24" borderId="71" xfId="1" applyNumberFormat="1" applyFont="1" applyFill="1" applyBorder="1" applyAlignment="1">
      <alignment horizontal="right" wrapText="1"/>
    </xf>
    <xf numFmtId="3" fontId="127" fillId="24" borderId="71" xfId="0" applyNumberFormat="1" applyFont="1" applyFill="1" applyBorder="1" applyAlignment="1">
      <alignment horizontal="right" wrapText="1"/>
    </xf>
    <xf numFmtId="165" fontId="133" fillId="0" borderId="71" xfId="1" applyNumberFormat="1" applyFont="1" applyAlignment="1">
      <alignment wrapText="1"/>
    </xf>
    <xf numFmtId="3" fontId="127" fillId="24" borderId="71" xfId="0" applyNumberFormat="1" applyFont="1" applyFill="1" applyBorder="1" applyAlignment="1">
      <alignment wrapText="1"/>
    </xf>
    <xf numFmtId="165" fontId="133" fillId="0" borderId="71" xfId="1" applyNumberFormat="1" applyFont="1" applyBorder="1" applyAlignment="1">
      <alignment wrapText="1"/>
    </xf>
    <xf numFmtId="49" fontId="144" fillId="35" borderId="71" xfId="1" applyNumberFormat="1" applyFont="1" applyFill="1" applyBorder="1" applyAlignment="1">
      <alignment horizontal="center" vertical="center" wrapText="1"/>
    </xf>
    <xf numFmtId="165" fontId="144" fillId="24" borderId="2" xfId="1" applyNumberFormat="1" applyFont="1" applyFill="1" applyBorder="1" applyAlignment="1">
      <alignment horizontal="center" vertical="center" wrapText="1"/>
    </xf>
    <xf numFmtId="3" fontId="127" fillId="24" borderId="2" xfId="1" applyNumberFormat="1" applyFont="1" applyFill="1" applyBorder="1" applyAlignment="1">
      <alignment horizontal="right" vertical="center" wrapText="1"/>
    </xf>
    <xf numFmtId="3" fontId="126" fillId="24" borderId="2" xfId="1" applyNumberFormat="1" applyFont="1" applyFill="1" applyBorder="1" applyAlignment="1">
      <alignment horizontal="right" vertical="center" wrapText="1"/>
    </xf>
    <xf numFmtId="166" fontId="144" fillId="24" borderId="2" xfId="1" applyNumberFormat="1" applyFont="1" applyFill="1" applyBorder="1" applyAlignment="1">
      <alignment horizontal="center" vertical="center" wrapText="1"/>
    </xf>
    <xf numFmtId="4" fontId="127" fillId="24" borderId="2" xfId="1" applyNumberFormat="1" applyFont="1" applyFill="1" applyBorder="1" applyAlignment="1">
      <alignment horizontal="right" vertical="center" wrapText="1"/>
    </xf>
    <xf numFmtId="165" fontId="140" fillId="32" borderId="79" xfId="1" applyNumberFormat="1" applyFont="1" applyFill="1" applyBorder="1" applyAlignment="1">
      <alignment horizontal="left" vertical="center" wrapText="1"/>
    </xf>
    <xf numFmtId="165" fontId="140" fillId="32" borderId="79" xfId="1" applyNumberFormat="1" applyFont="1" applyFill="1" applyBorder="1" applyAlignment="1">
      <alignment horizontal="center" vertical="center" wrapText="1"/>
    </xf>
    <xf numFmtId="3" fontId="127" fillId="24" borderId="2" xfId="1" applyNumberFormat="1" applyFont="1" applyFill="1" applyBorder="1" applyAlignment="1">
      <alignment horizontal="right" wrapText="1"/>
    </xf>
    <xf numFmtId="49" fontId="141" fillId="24" borderId="2" xfId="1" applyNumberFormat="1" applyFont="1" applyFill="1" applyBorder="1" applyAlignment="1">
      <alignment horizontal="right" vertical="center" wrapText="1"/>
    </xf>
    <xf numFmtId="165" fontId="126" fillId="24" borderId="2" xfId="1" applyNumberFormat="1" applyFont="1" applyFill="1" applyBorder="1" applyAlignment="1">
      <alignment horizontal="left" vertical="center" wrapText="1"/>
    </xf>
    <xf numFmtId="165" fontId="126" fillId="24" borderId="2" xfId="1" applyNumberFormat="1" applyFont="1" applyFill="1" applyBorder="1" applyAlignment="1">
      <alignment horizontal="center" vertical="center" wrapText="1"/>
    </xf>
    <xf numFmtId="165" fontId="140" fillId="32" borderId="2" xfId="1" applyNumberFormat="1" applyFont="1" applyFill="1" applyBorder="1" applyAlignment="1">
      <alignment horizontal="center" vertical="center" wrapText="1"/>
    </xf>
    <xf numFmtId="3" fontId="126" fillId="29" borderId="2" xfId="1" applyNumberFormat="1" applyFont="1" applyFill="1" applyBorder="1" applyAlignment="1">
      <alignment horizontal="right" wrapText="1"/>
    </xf>
    <xf numFmtId="165" fontId="140" fillId="32" borderId="2" xfId="1" applyNumberFormat="1" applyFont="1" applyFill="1" applyBorder="1" applyAlignment="1">
      <alignment horizontal="left" vertical="center" wrapText="1"/>
    </xf>
    <xf numFmtId="165" fontId="126" fillId="29" borderId="2" xfId="1" applyNumberFormat="1" applyFont="1" applyFill="1" applyBorder="1" applyAlignment="1">
      <alignment horizontal="left" vertical="center" wrapText="1"/>
    </xf>
    <xf numFmtId="165" fontId="126" fillId="29" borderId="2" xfId="1" applyNumberFormat="1" applyFont="1" applyFill="1" applyBorder="1" applyAlignment="1">
      <alignment horizontal="center" vertical="center" wrapText="1"/>
    </xf>
    <xf numFmtId="165" fontId="126" fillId="16" borderId="2" xfId="1" applyNumberFormat="1" applyFont="1" applyFill="1" applyBorder="1" applyAlignment="1">
      <alignment horizontal="right" vertical="center" wrapText="1"/>
    </xf>
    <xf numFmtId="167" fontId="127" fillId="24" borderId="71" xfId="0" applyNumberFormat="1" applyFont="1" applyFill="1" applyBorder="1" applyAlignment="1">
      <alignment wrapText="1"/>
    </xf>
    <xf numFmtId="165" fontId="128" fillId="34" borderId="71" xfId="1" applyNumberFormat="1" applyFont="1" applyFill="1" applyBorder="1" applyAlignment="1">
      <alignment horizontal="left" vertical="center" wrapText="1"/>
    </xf>
  </cellXfs>
  <cellStyles count="10">
    <cellStyle name="Comma" xfId="1" builtinId="3"/>
    <cellStyle name="Komma 2" xfId="5" xr:uid="{00000000-0005-0000-0000-000005000000}"/>
    <cellStyle name="Normal" xfId="0" builtinId="0"/>
    <cellStyle name="Normal 2" xfId="2" xr:uid="{00000000-0005-0000-0000-000002000000}"/>
    <cellStyle name="Normal 2 2" xfId="4" xr:uid="{00000000-0005-0000-0000-000004000000}"/>
    <cellStyle name="Normal 4" xfId="9" xr:uid="{00000000-0005-0000-0000-000009000000}"/>
    <cellStyle name="Per cent" xfId="7" builtinId="5"/>
    <cellStyle name="Prozent 2" xfId="6" xr:uid="{00000000-0005-0000-0000-000006000000}"/>
    <cellStyle name="Standard 2" xfId="3" xr:uid="{00000000-0005-0000-0000-000003000000}"/>
    <cellStyle name="Standard 2 2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dimitry/Desktop/009_MOVIE_AO_Baker_Version_20260411%20Baker%20version%204.xlsx" TargetMode="External"/><Relationship Id="rId1" Type="http://schemas.openxmlformats.org/officeDocument/2006/relationships/externalLinkPath" Target="009_MOVIE_AO_Baker_Version_20260411%20Baker%20version%2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O "/>
      <sheetName val="BC Rev TL CF"/>
      <sheetName val="Equity calculation "/>
      <sheetName val="progress of works"/>
    </sheetNames>
    <sheetDataSet>
      <sheetData sheetId="0" refreshError="1"/>
      <sheetData sheetId="1">
        <row r="31">
          <cell r="W31">
            <v>3120000</v>
          </cell>
        </row>
        <row r="32">
          <cell r="W32">
            <v>1768695</v>
          </cell>
          <cell r="X32">
            <v>132000</v>
          </cell>
          <cell r="Z32">
            <v>482566</v>
          </cell>
        </row>
        <row r="33">
          <cell r="AD33">
            <v>5738338.9510000004</v>
          </cell>
        </row>
      </sheetData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5AD9B13-E1DE-8A44-B8DE-D586053E31C5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bc08758-39a3-4f42-8d91-c9a3cd62755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V107"/>
  <sheetViews>
    <sheetView topLeftCell="C1" zoomScaleNormal="100" workbookViewId="0">
      <pane xSplit="3" ySplit="6" topLeftCell="F70" activePane="bottomRight" state="frozen"/>
      <selection pane="topRight" activeCell="F1" sqref="F1"/>
      <selection pane="bottomLeft" activeCell="C9" sqref="C9"/>
      <selection pane="bottomRight" activeCell="C95" sqref="A95:XFD95"/>
    </sheetView>
  </sheetViews>
  <sheetFormatPr baseColWidth="10" defaultColWidth="10.83203125" defaultRowHeight="16"/>
  <cols>
    <col min="1" max="1" width="2.33203125" style="201" customWidth="1"/>
    <col min="2" max="2" width="2.83203125" style="201" customWidth="1"/>
    <col min="3" max="3" width="6.1640625" style="201" customWidth="1"/>
    <col min="4" max="4" width="48.6640625" style="201" customWidth="1"/>
    <col min="5" max="5" width="7.1640625" style="201" customWidth="1"/>
    <col min="6" max="6" width="18" style="201" customWidth="1"/>
    <col min="7" max="7" width="19.33203125" style="201" customWidth="1"/>
    <col min="8" max="8" width="18.6640625" style="201" customWidth="1"/>
    <col min="9" max="9" width="19.33203125" style="201" customWidth="1"/>
    <col min="10" max="11" width="18" style="201" customWidth="1"/>
    <col min="12" max="12" width="18" style="610" customWidth="1"/>
    <col min="13" max="13" width="22" style="201" customWidth="1"/>
    <col min="14" max="14" width="19.6640625" style="201" customWidth="1"/>
    <col min="15" max="15" width="22.33203125" style="201" customWidth="1"/>
    <col min="16" max="16" width="22.6640625" style="201" customWidth="1"/>
    <col min="17" max="17" width="22.33203125" style="201" customWidth="1"/>
    <col min="18" max="18" width="31.33203125" style="201" customWidth="1"/>
    <col min="19" max="19" width="25.83203125" style="201" customWidth="1"/>
    <col min="20" max="21" width="19.33203125" style="201" customWidth="1"/>
    <col min="22" max="22" width="24.83203125" style="201" customWidth="1"/>
    <col min="23" max="26" width="10.83203125" style="201" customWidth="1"/>
    <col min="27" max="16384" width="10.83203125" style="201"/>
  </cols>
  <sheetData>
    <row r="2" spans="3:21" ht="48" customHeight="1">
      <c r="D2" s="326" t="s">
        <v>0</v>
      </c>
      <c r="E2" s="392"/>
      <c r="F2" s="393"/>
      <c r="G2" s="537" t="s">
        <v>1</v>
      </c>
      <c r="H2" s="538"/>
      <c r="I2" s="538"/>
      <c r="J2" s="538"/>
      <c r="K2" s="538"/>
      <c r="L2" s="609"/>
      <c r="M2" s="538"/>
      <c r="N2" s="538"/>
      <c r="P2" s="394" t="s">
        <v>2</v>
      </c>
    </row>
    <row r="3" spans="3:21" ht="17" customHeight="1" thickBot="1"/>
    <row r="4" spans="3:21" ht="24" customHeight="1" thickBot="1">
      <c r="C4" s="395" t="s">
        <v>3</v>
      </c>
      <c r="D4" s="327" t="s">
        <v>4</v>
      </c>
      <c r="F4" s="396"/>
      <c r="G4" s="546" t="s">
        <v>5</v>
      </c>
      <c r="H4" s="546"/>
      <c r="I4" s="546"/>
      <c r="J4" s="546"/>
      <c r="K4" s="546"/>
      <c r="L4" s="546"/>
      <c r="M4" s="546"/>
      <c r="N4" s="547"/>
      <c r="P4" s="462" t="s">
        <v>6</v>
      </c>
      <c r="Q4" s="397"/>
      <c r="R4" s="397" t="s">
        <v>7</v>
      </c>
      <c r="S4" s="398"/>
      <c r="T4" s="391"/>
      <c r="U4" s="399"/>
    </row>
    <row r="5" spans="3:21" s="384" customFormat="1" ht="32" customHeight="1" thickBot="1">
      <c r="F5" s="558" t="s">
        <v>8</v>
      </c>
      <c r="G5" s="542"/>
      <c r="H5" s="542"/>
      <c r="I5" s="541" t="s">
        <v>9</v>
      </c>
      <c r="J5" s="542"/>
      <c r="K5" s="542"/>
      <c r="L5" s="542"/>
      <c r="M5" s="543"/>
      <c r="N5" s="400" t="s">
        <v>10</v>
      </c>
      <c r="P5" s="401" t="s">
        <v>11</v>
      </c>
      <c r="Q5" s="464" t="s">
        <v>12</v>
      </c>
      <c r="R5" s="464" t="s">
        <v>13</v>
      </c>
      <c r="S5" s="465" t="s">
        <v>237</v>
      </c>
      <c r="T5" s="428" t="s">
        <v>10</v>
      </c>
      <c r="U5" s="402"/>
    </row>
    <row r="6" spans="3:21" ht="47" customHeight="1">
      <c r="D6" s="352" t="s">
        <v>14</v>
      </c>
      <c r="E6" s="403" t="s">
        <v>15</v>
      </c>
      <c r="F6" s="404" t="s">
        <v>16</v>
      </c>
      <c r="G6" s="404" t="s">
        <v>17</v>
      </c>
      <c r="H6" s="404" t="s">
        <v>18</v>
      </c>
      <c r="I6" s="405" t="s">
        <v>19</v>
      </c>
      <c r="J6" s="405" t="s">
        <v>20</v>
      </c>
      <c r="K6" s="405" t="s">
        <v>21</v>
      </c>
      <c r="L6" s="611"/>
      <c r="M6" s="405" t="s">
        <v>22</v>
      </c>
      <c r="N6" s="353" t="s">
        <v>23</v>
      </c>
      <c r="P6" s="406" t="s">
        <v>24</v>
      </c>
      <c r="Q6" s="463" t="s">
        <v>25</v>
      </c>
      <c r="R6" s="463" t="s">
        <v>26</v>
      </c>
      <c r="S6" s="461" t="s">
        <v>238</v>
      </c>
      <c r="T6" s="429" t="s">
        <v>239</v>
      </c>
      <c r="U6" s="399"/>
    </row>
    <row r="7" spans="3:21" ht="17" customHeight="1" thickBot="1">
      <c r="Q7" s="399"/>
      <c r="R7" s="399"/>
      <c r="S7" s="399"/>
      <c r="T7" s="399"/>
      <c r="U7" s="399"/>
    </row>
    <row r="8" spans="3:21" ht="18" customHeight="1" thickBot="1">
      <c r="D8" s="235" t="s">
        <v>27</v>
      </c>
      <c r="E8" s="373"/>
      <c r="F8" s="236"/>
      <c r="G8" s="204"/>
      <c r="H8" s="204"/>
      <c r="I8" s="204"/>
      <c r="J8" s="204"/>
      <c r="K8" s="204"/>
      <c r="L8" s="204"/>
      <c r="M8" s="204"/>
      <c r="N8" s="374"/>
      <c r="O8" s="407"/>
      <c r="P8" s="323"/>
      <c r="Q8" s="323"/>
      <c r="R8" s="323"/>
      <c r="S8" s="323"/>
      <c r="T8" s="430"/>
      <c r="U8" s="399"/>
    </row>
    <row r="9" spans="3:21" ht="18" customHeight="1" thickBot="1">
      <c r="D9" s="375"/>
      <c r="E9" s="342"/>
      <c r="F9" s="371"/>
      <c r="G9" s="371"/>
      <c r="H9" s="371"/>
      <c r="I9" s="371"/>
      <c r="J9" s="371"/>
      <c r="K9" s="371"/>
      <c r="L9" s="612"/>
      <c r="M9" s="371"/>
      <c r="N9" s="372"/>
      <c r="P9" s="385"/>
      <c r="Q9" s="385"/>
      <c r="R9" s="385"/>
      <c r="S9" s="385"/>
      <c r="T9" s="385"/>
      <c r="U9" s="399"/>
    </row>
    <row r="10" spans="3:21" ht="21" customHeight="1">
      <c r="D10" s="376" t="s">
        <v>28</v>
      </c>
      <c r="E10" s="377"/>
      <c r="F10" s="218">
        <v>14814554</v>
      </c>
      <c r="G10" s="219">
        <v>8723948</v>
      </c>
      <c r="H10" s="219">
        <v>711925.67083333619</v>
      </c>
      <c r="I10" s="219">
        <v>-0.32916666381061083</v>
      </c>
      <c r="J10" s="219"/>
      <c r="K10" s="219">
        <v>0</v>
      </c>
      <c r="L10" s="219"/>
      <c r="M10" s="219">
        <v>0</v>
      </c>
      <c r="N10" s="378"/>
      <c r="O10" s="408"/>
      <c r="P10" s="219"/>
      <c r="Q10" s="219"/>
      <c r="R10" s="219"/>
      <c r="S10" s="219"/>
      <c r="T10" s="220"/>
      <c r="U10" s="399"/>
    </row>
    <row r="11" spans="3:21" ht="29" customHeight="1" thickBot="1">
      <c r="D11" s="358" t="s">
        <v>29</v>
      </c>
      <c r="E11" s="403"/>
      <c r="F11" s="409"/>
      <c r="G11" s="410"/>
      <c r="H11" s="410"/>
      <c r="I11" s="410"/>
      <c r="J11" s="410"/>
      <c r="K11" s="410"/>
      <c r="L11" s="613"/>
      <c r="M11" s="410"/>
      <c r="N11" s="357"/>
      <c r="P11" s="431"/>
      <c r="Q11" s="432"/>
      <c r="R11" s="433"/>
      <c r="S11" s="433"/>
      <c r="T11" s="434"/>
      <c r="U11" s="399"/>
    </row>
    <row r="12" spans="3:21" ht="21" customHeight="1" thickBot="1">
      <c r="D12" s="350" t="s">
        <v>30</v>
      </c>
      <c r="E12" s="343"/>
      <c r="F12" s="360">
        <v>-4320606</v>
      </c>
      <c r="G12" s="252">
        <v>-6261022.3291666638</v>
      </c>
      <c r="H12" s="252">
        <v>-6361022.3291666638</v>
      </c>
      <c r="I12" s="252">
        <v>-7002685.3291666638</v>
      </c>
      <c r="J12" s="252">
        <v>-5026592.8125</v>
      </c>
      <c r="K12" s="321">
        <v>-1098625</v>
      </c>
      <c r="L12" s="321"/>
      <c r="M12" s="321">
        <v>-1670000</v>
      </c>
      <c r="N12" s="322">
        <v>-31740553.79999999</v>
      </c>
      <c r="O12" s="407"/>
      <c r="P12" s="322">
        <v>-1341458.0800000089</v>
      </c>
      <c r="Q12" s="435">
        <f>P12</f>
        <v>-1341458.0800000089</v>
      </c>
      <c r="R12" s="322">
        <v>-2541213</v>
      </c>
      <c r="S12" s="322">
        <f>Q12+R12</f>
        <v>-3882671.0800000089</v>
      </c>
      <c r="T12" s="322"/>
      <c r="U12" s="399"/>
    </row>
    <row r="13" spans="3:21" ht="20.25" customHeight="1">
      <c r="D13" s="359" t="s">
        <v>31</v>
      </c>
      <c r="E13" s="343"/>
      <c r="F13" s="361"/>
      <c r="G13" s="362"/>
      <c r="H13" s="362"/>
      <c r="I13" s="362"/>
      <c r="J13" s="362"/>
      <c r="K13" s="362"/>
      <c r="L13" s="614"/>
      <c r="M13" s="362"/>
      <c r="N13" s="206">
        <v>0</v>
      </c>
      <c r="P13" s="436"/>
      <c r="Q13" s="437">
        <f>P13</f>
        <v>0</v>
      </c>
      <c r="R13" s="438">
        <v>-1050000</v>
      </c>
      <c r="S13" s="438"/>
      <c r="T13" s="439"/>
      <c r="U13" s="399"/>
    </row>
    <row r="14" spans="3:21" ht="21" customHeight="1" thickBot="1">
      <c r="D14" s="351" t="s">
        <v>32</v>
      </c>
      <c r="E14" s="379"/>
      <c r="F14" s="363"/>
      <c r="G14" s="324"/>
      <c r="H14" s="324"/>
      <c r="I14" s="324"/>
      <c r="J14" s="324"/>
      <c r="K14" s="324"/>
      <c r="L14" s="324"/>
      <c r="M14" s="324"/>
      <c r="N14" s="248">
        <v>0</v>
      </c>
      <c r="O14" s="411"/>
      <c r="P14" s="248"/>
      <c r="Q14" s="245">
        <f>P14</f>
        <v>0</v>
      </c>
      <c r="R14" s="440">
        <v>-1500000</v>
      </c>
      <c r="S14" s="440"/>
      <c r="T14" s="441"/>
      <c r="U14" s="399"/>
    </row>
    <row r="15" spans="3:21" ht="21" customHeight="1" thickBot="1">
      <c r="D15" s="364"/>
      <c r="E15" s="343"/>
      <c r="F15" s="362"/>
      <c r="G15" s="362"/>
      <c r="H15" s="362"/>
      <c r="I15" s="362"/>
      <c r="J15" s="362"/>
      <c r="K15" s="362"/>
      <c r="L15" s="614"/>
      <c r="M15" s="362"/>
      <c r="N15" s="206"/>
      <c r="P15" s="436"/>
      <c r="Q15" s="437"/>
      <c r="R15" s="438"/>
      <c r="S15" s="438"/>
      <c r="T15" s="438"/>
      <c r="U15" s="399"/>
    </row>
    <row r="16" spans="3:21" ht="21" customHeight="1" thickBot="1">
      <c r="D16" s="365" t="s">
        <v>33</v>
      </c>
      <c r="E16" s="366"/>
      <c r="F16" s="252"/>
      <c r="G16" s="252"/>
      <c r="H16" s="252"/>
      <c r="I16" s="252"/>
      <c r="J16" s="252"/>
      <c r="K16" s="252"/>
      <c r="L16" s="252"/>
      <c r="M16" s="252"/>
      <c r="N16" s="209"/>
      <c r="O16" s="407"/>
      <c r="P16" s="209"/>
      <c r="Q16" s="338"/>
      <c r="R16" s="442"/>
      <c r="S16" s="442"/>
      <c r="T16" s="443"/>
      <c r="U16" s="399"/>
    </row>
    <row r="17" spans="2:21" ht="22" customHeight="1" thickBot="1">
      <c r="D17" s="325" t="s">
        <v>34</v>
      </c>
      <c r="E17" s="366"/>
      <c r="F17" s="252"/>
      <c r="G17" s="252"/>
      <c r="H17" s="252"/>
      <c r="I17" s="252"/>
      <c r="J17" s="252"/>
      <c r="K17" s="252"/>
      <c r="L17" s="252"/>
      <c r="M17" s="252"/>
      <c r="N17" s="209">
        <v>0</v>
      </c>
      <c r="O17" s="407"/>
      <c r="P17" s="209"/>
      <c r="Q17" s="338">
        <f t="shared" ref="Q17:Q26" si="0">P17</f>
        <v>0</v>
      </c>
      <c r="R17" s="442">
        <v>-4000000</v>
      </c>
      <c r="S17" s="442">
        <f>R17</f>
        <v>-4000000</v>
      </c>
      <c r="T17" s="443"/>
      <c r="U17" s="399"/>
    </row>
    <row r="18" spans="2:21" ht="22" customHeight="1">
      <c r="B18" s="202"/>
      <c r="D18" s="205" t="s">
        <v>35</v>
      </c>
      <c r="E18" s="343"/>
      <c r="F18" s="362">
        <v>-340000</v>
      </c>
      <c r="G18" s="362">
        <v>-400000</v>
      </c>
      <c r="H18" s="362">
        <v>-550000</v>
      </c>
      <c r="I18" s="362">
        <v>-1150000</v>
      </c>
      <c r="J18" s="362">
        <v>-1110000</v>
      </c>
      <c r="K18" s="362">
        <v>-1110000</v>
      </c>
      <c r="L18" s="614"/>
      <c r="M18" s="362">
        <v>-980000</v>
      </c>
      <c r="N18" s="206">
        <v>-5640000</v>
      </c>
      <c r="O18" s="206"/>
      <c r="P18" s="437">
        <f>P19+P20</f>
        <v>-1836000</v>
      </c>
      <c r="Q18" s="437">
        <f t="shared" si="0"/>
        <v>-1836000</v>
      </c>
      <c r="R18" s="436">
        <f>R19+R20</f>
        <v>-225000</v>
      </c>
      <c r="S18" s="436">
        <f>R18+Q18</f>
        <v>-2061000</v>
      </c>
      <c r="T18" s="444"/>
      <c r="U18" s="399"/>
    </row>
    <row r="19" spans="2:21" ht="21" customHeight="1">
      <c r="B19" s="210"/>
      <c r="D19" s="211" t="s">
        <v>36</v>
      </c>
      <c r="E19" s="344"/>
      <c r="F19" s="370">
        <v>-160000</v>
      </c>
      <c r="G19" s="370">
        <v>-190000</v>
      </c>
      <c r="H19" s="370">
        <v>-290000</v>
      </c>
      <c r="I19" s="370">
        <v>-890000</v>
      </c>
      <c r="J19" s="370">
        <v>-850000</v>
      </c>
      <c r="K19" s="370">
        <v>-850000</v>
      </c>
      <c r="L19" s="615"/>
      <c r="M19" s="370">
        <v>-850000</v>
      </c>
      <c r="N19" s="212">
        <v>-4080000</v>
      </c>
      <c r="P19" s="445">
        <v>-1700000</v>
      </c>
      <c r="Q19" s="437">
        <f t="shared" si="0"/>
        <v>-1700000</v>
      </c>
      <c r="R19" s="446">
        <v>0</v>
      </c>
      <c r="S19" s="446"/>
      <c r="T19" s="444"/>
      <c r="U19" s="399"/>
    </row>
    <row r="20" spans="2:21" ht="21" customHeight="1">
      <c r="D20" s="211" t="s">
        <v>37</v>
      </c>
      <c r="E20" s="344"/>
      <c r="F20" s="370">
        <v>-180000</v>
      </c>
      <c r="G20" s="370">
        <v>-210000</v>
      </c>
      <c r="H20" s="370">
        <v>-260000</v>
      </c>
      <c r="I20" s="370">
        <v>-260000</v>
      </c>
      <c r="J20" s="370">
        <v>-260000</v>
      </c>
      <c r="K20" s="370">
        <v>-260000</v>
      </c>
      <c r="L20" s="615"/>
      <c r="M20" s="370">
        <v>-130000</v>
      </c>
      <c r="N20" s="212">
        <v>-1560000</v>
      </c>
      <c r="P20" s="445">
        <v>-136000</v>
      </c>
      <c r="Q20" s="437">
        <f t="shared" si="0"/>
        <v>-136000</v>
      </c>
      <c r="R20" s="320">
        <v>-225000</v>
      </c>
      <c r="S20" s="437"/>
      <c r="T20" s="444"/>
      <c r="U20" s="399"/>
    </row>
    <row r="21" spans="2:21" ht="21" customHeight="1">
      <c r="D21" s="211" t="s">
        <v>38</v>
      </c>
      <c r="E21" s="344"/>
      <c r="F21" s="370"/>
      <c r="G21" s="370"/>
      <c r="H21" s="370"/>
      <c r="I21" s="370"/>
      <c r="J21" s="370"/>
      <c r="K21" s="370"/>
      <c r="L21" s="615"/>
      <c r="M21" s="370"/>
      <c r="N21" s="212">
        <v>0</v>
      </c>
      <c r="P21" s="446">
        <v>0</v>
      </c>
      <c r="Q21" s="437">
        <f t="shared" si="0"/>
        <v>0</v>
      </c>
      <c r="R21" s="389">
        <v>0</v>
      </c>
      <c r="S21" s="385"/>
      <c r="T21" s="444"/>
      <c r="U21" s="399"/>
    </row>
    <row r="22" spans="2:21" ht="22" customHeight="1">
      <c r="D22" s="318" t="s">
        <v>39</v>
      </c>
      <c r="E22" s="344"/>
      <c r="F22" s="370"/>
      <c r="G22" s="370"/>
      <c r="H22" s="370"/>
      <c r="I22" s="370"/>
      <c r="J22" s="370"/>
      <c r="K22" s="370"/>
      <c r="L22" s="615"/>
      <c r="M22" s="370"/>
      <c r="N22" s="212">
        <v>0</v>
      </c>
      <c r="P22" s="385">
        <v>0</v>
      </c>
      <c r="Q22" s="437">
        <f t="shared" si="0"/>
        <v>0</v>
      </c>
      <c r="R22" s="445">
        <v>-1500000</v>
      </c>
      <c r="S22" s="445">
        <f>R22</f>
        <v>-1500000</v>
      </c>
      <c r="T22" s="444"/>
      <c r="U22" s="399"/>
    </row>
    <row r="23" spans="2:21" ht="22" customHeight="1" thickBot="1">
      <c r="D23" s="208" t="s">
        <v>40</v>
      </c>
      <c r="E23" s="343"/>
      <c r="F23" s="324">
        <v>-1150000</v>
      </c>
      <c r="G23" s="324">
        <v>-1071000</v>
      </c>
      <c r="H23" s="324">
        <v>-350000</v>
      </c>
      <c r="I23" s="324">
        <v>-150000</v>
      </c>
      <c r="J23" s="324">
        <v>0</v>
      </c>
      <c r="K23" s="319">
        <v>0</v>
      </c>
      <c r="L23" s="319"/>
      <c r="M23" s="319">
        <v>0</v>
      </c>
      <c r="N23" s="320">
        <v>-2721000</v>
      </c>
      <c r="P23" s="447">
        <v>-851987</v>
      </c>
      <c r="Q23" s="448">
        <f t="shared" si="0"/>
        <v>-851987</v>
      </c>
      <c r="R23" s="320">
        <v>-395295</v>
      </c>
      <c r="S23" s="320">
        <f>R23</f>
        <v>-395295</v>
      </c>
      <c r="T23" s="320"/>
      <c r="U23" s="399"/>
    </row>
    <row r="24" spans="2:21" ht="21" customHeight="1">
      <c r="D24" s="318" t="s">
        <v>41</v>
      </c>
      <c r="E24" s="343"/>
      <c r="F24" s="362"/>
      <c r="G24" s="362"/>
      <c r="H24" s="362"/>
      <c r="I24" s="362"/>
      <c r="J24" s="362"/>
      <c r="K24" s="307"/>
      <c r="L24" s="307"/>
      <c r="M24" s="307"/>
      <c r="N24" s="207">
        <v>0</v>
      </c>
      <c r="P24" s="449">
        <v>-1143556</v>
      </c>
      <c r="Q24" s="450">
        <f t="shared" si="0"/>
        <v>-1143556</v>
      </c>
      <c r="R24" s="207">
        <v>-703531</v>
      </c>
      <c r="S24" s="320">
        <f>R24</f>
        <v>-703531</v>
      </c>
      <c r="T24" s="207"/>
      <c r="U24" s="399"/>
    </row>
    <row r="25" spans="2:21" ht="22" customHeight="1" thickBot="1">
      <c r="D25" s="208" t="s">
        <v>42</v>
      </c>
      <c r="E25" s="343"/>
      <c r="F25" s="362"/>
      <c r="G25" s="362">
        <v>0</v>
      </c>
      <c r="H25" s="362">
        <v>0</v>
      </c>
      <c r="I25" s="362">
        <v>0</v>
      </c>
      <c r="J25" s="362">
        <v>-3000000</v>
      </c>
      <c r="K25" s="307">
        <v>0</v>
      </c>
      <c r="L25" s="307"/>
      <c r="M25" s="307">
        <v>0</v>
      </c>
      <c r="N25" s="207">
        <v>-3000000</v>
      </c>
      <c r="P25" s="449">
        <v>-1049140</v>
      </c>
      <c r="Q25" s="450">
        <f t="shared" si="0"/>
        <v>-1049140</v>
      </c>
      <c r="R25" s="207">
        <v>-3375964</v>
      </c>
      <c r="S25" s="320">
        <f>R25</f>
        <v>-3375964</v>
      </c>
      <c r="T25" s="207"/>
      <c r="U25" s="399"/>
    </row>
    <row r="26" spans="2:21" ht="22" customHeight="1" thickBot="1">
      <c r="D26" s="208" t="s">
        <v>43</v>
      </c>
      <c r="E26" s="343"/>
      <c r="F26" s="252">
        <v>-280000</v>
      </c>
      <c r="G26" s="252">
        <v>-280000</v>
      </c>
      <c r="H26" s="252">
        <v>-280000</v>
      </c>
      <c r="I26" s="252">
        <v>-280000</v>
      </c>
      <c r="J26" s="252">
        <v>0</v>
      </c>
      <c r="K26" s="307">
        <v>0</v>
      </c>
      <c r="L26" s="307"/>
      <c r="M26" s="307">
        <v>0</v>
      </c>
      <c r="N26" s="207">
        <v>-1120000</v>
      </c>
      <c r="P26" s="449">
        <v>373300</v>
      </c>
      <c r="Q26" s="450">
        <f t="shared" si="0"/>
        <v>373300</v>
      </c>
      <c r="R26" s="450">
        <v>-5770000</v>
      </c>
      <c r="S26" s="445">
        <f>R26</f>
        <v>-5770000</v>
      </c>
      <c r="T26" s="207"/>
      <c r="U26" s="399"/>
    </row>
    <row r="27" spans="2:21" ht="22" customHeight="1" thickBot="1">
      <c r="D27" s="213" t="s">
        <v>44</v>
      </c>
      <c r="E27" s="380"/>
      <c r="F27" s="214">
        <v>-6090606</v>
      </c>
      <c r="G27" s="214">
        <v>-8012022.3291666638</v>
      </c>
      <c r="H27" s="214">
        <v>-7541022.3291666638</v>
      </c>
      <c r="I27" s="214">
        <v>-8582685.3291666638</v>
      </c>
      <c r="J27" s="215">
        <v>-9136592.8125</v>
      </c>
      <c r="K27" s="381">
        <v>-2208625</v>
      </c>
      <c r="L27" s="381"/>
      <c r="M27" s="381">
        <v>-2650000</v>
      </c>
      <c r="N27" s="216">
        <v>-44221553.79999999</v>
      </c>
      <c r="O27" s="411"/>
      <c r="P27" s="451">
        <f>P12+P13+P14+P17+P18+P21+P22+P23+P24+P25+P26</f>
        <v>-5848841.0800000094</v>
      </c>
      <c r="Q27" s="452">
        <f>Q12+Q13+Q14+Q17+Q18+Q21+Q22+Q23+Q24+Q25+Q26</f>
        <v>-5848841.0800000094</v>
      </c>
      <c r="R27" s="452">
        <f>R12+R13+R14+R17+R18+R19+R20+R21+R22+R23+R24+R25+R26</f>
        <v>-21286003</v>
      </c>
      <c r="S27" s="452">
        <f>R27+Q27</f>
        <v>-27134844.080000009</v>
      </c>
      <c r="T27" s="216"/>
      <c r="U27" s="399"/>
    </row>
    <row r="28" spans="2:21" ht="20" customHeight="1">
      <c r="D28" s="210"/>
      <c r="E28" s="341"/>
      <c r="F28" s="412"/>
      <c r="G28" s="412"/>
      <c r="H28" s="412"/>
      <c r="I28" s="412"/>
      <c r="J28" s="412"/>
      <c r="K28" s="412"/>
      <c r="L28" s="616"/>
      <c r="M28" s="412"/>
      <c r="N28" s="413"/>
      <c r="P28" s="385"/>
      <c r="Q28" s="385"/>
      <c r="R28" s="385"/>
      <c r="S28" s="385"/>
      <c r="T28" s="385"/>
      <c r="U28" s="399"/>
    </row>
    <row r="29" spans="2:21" ht="18" customHeight="1" thickBot="1">
      <c r="D29" s="367" t="s">
        <v>45</v>
      </c>
      <c r="E29" s="342"/>
      <c r="F29" s="354"/>
      <c r="G29" s="355"/>
      <c r="H29" s="355"/>
      <c r="I29" s="355"/>
      <c r="J29" s="355"/>
      <c r="K29" s="368"/>
      <c r="L29" s="368"/>
      <c r="M29" s="368"/>
      <c r="N29" s="356"/>
      <c r="P29" s="369"/>
      <c r="Q29" s="356"/>
      <c r="R29" s="356"/>
      <c r="S29" s="356"/>
      <c r="T29" s="356"/>
      <c r="U29" s="399"/>
    </row>
    <row r="30" spans="2:21" ht="21" customHeight="1">
      <c r="D30" s="217" t="s">
        <v>46</v>
      </c>
      <c r="E30" s="341"/>
      <c r="F30" s="219">
        <v>6090606</v>
      </c>
      <c r="G30" s="219">
        <v>8012022</v>
      </c>
      <c r="H30" s="219">
        <v>711926</v>
      </c>
      <c r="I30" s="219">
        <v>0</v>
      </c>
      <c r="J30" s="219">
        <v>0</v>
      </c>
      <c r="K30" s="303">
        <v>0</v>
      </c>
      <c r="L30" s="303"/>
      <c r="M30" s="303">
        <v>0</v>
      </c>
      <c r="N30" s="220">
        <v>14814554</v>
      </c>
      <c r="P30" s="315"/>
      <c r="Q30" s="453"/>
      <c r="R30" s="454"/>
      <c r="S30" s="454"/>
      <c r="T30" s="303"/>
      <c r="U30" s="399"/>
    </row>
    <row r="31" spans="2:21" ht="21" customHeight="1">
      <c r="D31" s="221" t="s">
        <v>47</v>
      </c>
      <c r="E31" s="343"/>
      <c r="F31" s="206"/>
      <c r="G31" s="206"/>
      <c r="H31" s="206"/>
      <c r="I31" s="206"/>
      <c r="J31" s="206"/>
      <c r="K31" s="303"/>
      <c r="L31" s="303"/>
      <c r="M31" s="303"/>
      <c r="N31" s="414">
        <v>0</v>
      </c>
      <c r="P31" s="315"/>
      <c r="Q31" s="453"/>
      <c r="R31" s="455">
        <v>4430118</v>
      </c>
      <c r="S31" s="455">
        <f>P31+R31</f>
        <v>4430118</v>
      </c>
      <c r="T31" s="303">
        <f>'[1]BC Rev TL CF'!W31</f>
        <v>3120000</v>
      </c>
      <c r="U31" s="399"/>
    </row>
    <row r="32" spans="2:21" ht="21" customHeight="1">
      <c r="D32" s="222" t="s">
        <v>48</v>
      </c>
      <c r="E32" s="340"/>
      <c r="G32" s="223"/>
      <c r="H32" s="223">
        <v>6829096.3291666638</v>
      </c>
      <c r="I32" s="223">
        <v>8582685.3291666638</v>
      </c>
      <c r="J32" s="223">
        <v>9136592.8125</v>
      </c>
      <c r="K32" s="304">
        <v>2208625</v>
      </c>
      <c r="L32" s="304"/>
      <c r="M32" s="304">
        <v>2650000</v>
      </c>
      <c r="N32" s="224">
        <v>29406999.470833331</v>
      </c>
      <c r="P32" s="316"/>
      <c r="Q32" s="456"/>
      <c r="R32" s="454"/>
      <c r="S32" s="455">
        <f>P32+R32</f>
        <v>0</v>
      </c>
      <c r="T32" s="303"/>
      <c r="U32" s="399"/>
    </row>
    <row r="33" spans="3:21" ht="21" customHeight="1">
      <c r="D33" s="225" t="s">
        <v>49</v>
      </c>
      <c r="E33" s="345">
        <v>0.52</v>
      </c>
      <c r="F33" s="226"/>
      <c r="G33" s="226">
        <v>0</v>
      </c>
      <c r="H33" s="227">
        <v>3551130.0911666648</v>
      </c>
      <c r="I33" s="227">
        <v>4462996.3711666651</v>
      </c>
      <c r="J33" s="227">
        <v>4751028.2625000002</v>
      </c>
      <c r="K33" s="308">
        <v>1148485</v>
      </c>
      <c r="L33" s="308"/>
      <c r="M33" s="308">
        <v>1378000</v>
      </c>
      <c r="N33" s="227">
        <v>15291639.72483333</v>
      </c>
      <c r="P33" s="315">
        <f>'[1]BC Rev TL CF'!AD33</f>
        <v>5738338.9510000004</v>
      </c>
      <c r="Q33" s="457"/>
      <c r="R33" s="315">
        <f>'[1]BC Rev TL CF'!W32+'[1]BC Rev TL CF'!X32+'[1]BC Rev TL CF'!Z32</f>
        <v>2383261</v>
      </c>
      <c r="S33" s="455">
        <f>P33+R33</f>
        <v>8121599.9510000004</v>
      </c>
      <c r="T33" s="303">
        <f>(S27+S31+T31)*0.52*-1-S33</f>
        <v>2062457.6106000049</v>
      </c>
      <c r="U33" s="399"/>
    </row>
    <row r="34" spans="3:21" ht="21" customHeight="1">
      <c r="D34" s="225" t="s">
        <v>242</v>
      </c>
      <c r="E34" s="345">
        <v>0.48</v>
      </c>
      <c r="F34" s="228"/>
      <c r="G34" s="228">
        <v>0</v>
      </c>
      <c r="H34" s="228">
        <v>0</v>
      </c>
      <c r="I34" s="228">
        <v>0</v>
      </c>
      <c r="J34" s="227">
        <v>4800000</v>
      </c>
      <c r="K34" s="308">
        <v>1060140</v>
      </c>
      <c r="L34" s="308"/>
      <c r="M34" s="308">
        <v>1272000</v>
      </c>
      <c r="N34" s="227">
        <v>14115359.745999999</v>
      </c>
      <c r="P34" s="317"/>
      <c r="Q34" s="457"/>
      <c r="R34" s="458">
        <v>2500000</v>
      </c>
      <c r="S34" s="458">
        <f>P34+R34</f>
        <v>2500000</v>
      </c>
      <c r="T34" s="303">
        <f>(S27+S31+T31)*0.48*-1-S34</f>
        <v>6900668.5184000041</v>
      </c>
      <c r="U34" s="399"/>
    </row>
    <row r="35" spans="3:21" ht="22" customHeight="1" thickBot="1">
      <c r="D35" s="229" t="s">
        <v>50</v>
      </c>
      <c r="E35" s="340"/>
      <c r="F35" s="310">
        <v>6090606</v>
      </c>
      <c r="G35" s="310">
        <v>8012022</v>
      </c>
      <c r="H35" s="310">
        <v>7541022.3291666638</v>
      </c>
      <c r="I35" s="310">
        <v>8582685.3291666638</v>
      </c>
      <c r="J35" s="310">
        <v>9136592.8125</v>
      </c>
      <c r="K35" s="310">
        <v>2208625</v>
      </c>
      <c r="L35" s="310"/>
      <c r="M35" s="310">
        <v>2650000</v>
      </c>
      <c r="N35" s="310">
        <v>29406999.470833331</v>
      </c>
      <c r="P35" s="459">
        <f>P30+P33+P31+P32</f>
        <v>5738338.9510000004</v>
      </c>
      <c r="Q35" s="459"/>
      <c r="R35" s="460">
        <f>SUM(R30:R34)</f>
        <v>9313379</v>
      </c>
      <c r="S35" s="460">
        <f>SUM(S30:S34)</f>
        <v>15051717.951000001</v>
      </c>
      <c r="T35" s="460">
        <f>SUM(T30:T34)</f>
        <v>12083126.129000008</v>
      </c>
      <c r="U35" s="399"/>
    </row>
    <row r="36" spans="3:21" ht="22" customHeight="1" thickBot="1">
      <c r="D36" s="328" t="s">
        <v>51</v>
      </c>
      <c r="E36" s="341"/>
      <c r="F36" s="209"/>
      <c r="G36" s="209">
        <v>-0.32916666381061083</v>
      </c>
      <c r="H36" s="209">
        <v>0</v>
      </c>
      <c r="I36" s="209">
        <v>0</v>
      </c>
      <c r="J36" s="209">
        <v>0</v>
      </c>
      <c r="K36" s="303">
        <v>0</v>
      </c>
      <c r="L36" s="303"/>
      <c r="M36" s="303">
        <v>0</v>
      </c>
      <c r="N36" s="232"/>
      <c r="P36" s="533">
        <f>P10+P27+P35</f>
        <v>-110502.12900000904</v>
      </c>
      <c r="Q36" s="534"/>
      <c r="R36" s="535">
        <f>R10+R27+R35</f>
        <v>-11972624</v>
      </c>
      <c r="S36" s="535">
        <f>S27+S35</f>
        <v>-12083126.129000008</v>
      </c>
      <c r="T36" s="536"/>
      <c r="U36" s="399"/>
    </row>
    <row r="37" spans="3:21" ht="21" customHeight="1" thickBot="1">
      <c r="D37" s="233"/>
      <c r="E37" s="340"/>
      <c r="F37" s="234"/>
      <c r="G37" s="234"/>
      <c r="H37" s="234"/>
      <c r="I37" s="234"/>
      <c r="J37" s="234"/>
      <c r="K37" s="310"/>
      <c r="L37" s="310"/>
      <c r="M37" s="310"/>
      <c r="N37" s="206"/>
      <c r="P37" s="415"/>
    </row>
    <row r="38" spans="3:21" ht="24" customHeight="1" thickBot="1">
      <c r="C38" s="395" t="s">
        <v>52</v>
      </c>
      <c r="D38" s="203" t="s">
        <v>243</v>
      </c>
      <c r="E38" s="340"/>
      <c r="F38" s="204"/>
      <c r="G38" s="204"/>
      <c r="H38" s="204"/>
      <c r="I38" s="416" t="s">
        <v>53</v>
      </c>
      <c r="J38" s="204"/>
      <c r="K38" s="306"/>
      <c r="L38" s="306"/>
      <c r="M38" s="306"/>
      <c r="N38" s="237"/>
      <c r="P38" s="415"/>
    </row>
    <row r="39" spans="3:21" ht="22" customHeight="1" thickBot="1">
      <c r="D39" s="329" t="s">
        <v>244</v>
      </c>
      <c r="E39" s="345"/>
      <c r="F39" s="238">
        <v>3033393</v>
      </c>
      <c r="G39" s="238"/>
      <c r="H39" s="238">
        <v>3277966.237999998</v>
      </c>
      <c r="I39" s="238">
        <v>4119688.9579999992</v>
      </c>
      <c r="J39" s="238">
        <v>4385564.55</v>
      </c>
      <c r="K39" s="311">
        <v>1060140</v>
      </c>
      <c r="L39" s="311"/>
      <c r="M39" s="311">
        <v>1272000</v>
      </c>
      <c r="N39" s="239">
        <v>17148752.745999999</v>
      </c>
      <c r="P39" s="415"/>
    </row>
    <row r="40" spans="3:21" ht="22" customHeight="1" thickBot="1">
      <c r="D40" s="330" t="s">
        <v>245</v>
      </c>
      <c r="E40" s="345"/>
      <c r="F40" s="212"/>
      <c r="G40" s="212">
        <v>5800000</v>
      </c>
      <c r="H40" s="212"/>
      <c r="I40" s="212"/>
      <c r="J40" s="212"/>
      <c r="K40" s="309"/>
      <c r="L40" s="309"/>
      <c r="M40" s="309"/>
      <c r="N40" s="239">
        <v>5800000</v>
      </c>
      <c r="P40" s="415"/>
    </row>
    <row r="41" spans="3:21" ht="22" customHeight="1" thickBot="1">
      <c r="D41" s="331" t="s">
        <v>54</v>
      </c>
      <c r="E41" s="346"/>
      <c r="F41" s="337">
        <v>3033393</v>
      </c>
      <c r="G41" s="240">
        <v>5800000</v>
      </c>
      <c r="H41" s="240">
        <v>3277966.237999998</v>
      </c>
      <c r="I41" s="240">
        <v>4119688.9579999992</v>
      </c>
      <c r="J41" s="240">
        <v>4385564.55</v>
      </c>
      <c r="K41" s="312">
        <v>1060140</v>
      </c>
      <c r="L41" s="312"/>
      <c r="M41" s="312">
        <v>1272000</v>
      </c>
      <c r="N41" s="241">
        <v>22948752.745999999</v>
      </c>
      <c r="P41" s="415"/>
    </row>
    <row r="42" spans="3:21" s="417" customFormat="1" ht="21" customHeight="1">
      <c r="D42" s="332" t="s">
        <v>246</v>
      </c>
      <c r="E42" s="347"/>
      <c r="F42" s="242">
        <v>0</v>
      </c>
      <c r="G42" s="242">
        <v>5500000</v>
      </c>
      <c r="H42" s="242">
        <v>0</v>
      </c>
      <c r="I42" s="242">
        <v>0</v>
      </c>
      <c r="J42" s="242">
        <v>4800000</v>
      </c>
      <c r="K42" s="313"/>
      <c r="L42" s="313"/>
      <c r="M42" s="313"/>
      <c r="N42" s="243">
        <v>10300000</v>
      </c>
      <c r="P42" s="418"/>
    </row>
    <row r="43" spans="3:21" s="417" customFormat="1" ht="22" customHeight="1" thickBot="1">
      <c r="D43" s="333" t="s">
        <v>247</v>
      </c>
      <c r="E43" s="348"/>
      <c r="F43" s="245">
        <v>3033393</v>
      </c>
      <c r="G43" s="244">
        <v>300000</v>
      </c>
      <c r="H43" s="244">
        <v>3277966.237999998</v>
      </c>
      <c r="I43" s="244">
        <v>4119688.9579999992</v>
      </c>
      <c r="J43" s="244">
        <v>-414435.45000000019</v>
      </c>
      <c r="K43" s="314">
        <v>1060140</v>
      </c>
      <c r="L43" s="314"/>
      <c r="M43" s="314">
        <v>1272000</v>
      </c>
      <c r="N43" s="245">
        <v>12648752.745999999</v>
      </c>
      <c r="P43" s="418"/>
    </row>
    <row r="44" spans="3:21" ht="22" customHeight="1" thickBot="1">
      <c r="D44" s="333" t="s">
        <v>248</v>
      </c>
      <c r="E44" s="340"/>
      <c r="F44" s="338">
        <v>3033393</v>
      </c>
      <c r="G44" s="246">
        <v>3333393</v>
      </c>
      <c r="H44" s="246">
        <v>6611359.237999998</v>
      </c>
      <c r="I44" s="246">
        <v>10731048.196</v>
      </c>
      <c r="J44" s="246">
        <v>10316612.745999999</v>
      </c>
      <c r="K44" s="314">
        <v>11376752.745999999</v>
      </c>
      <c r="L44" s="314"/>
      <c r="M44" s="314">
        <v>12648752.745999999</v>
      </c>
      <c r="N44" s="245">
        <v>12648752.745999999</v>
      </c>
      <c r="P44" s="415"/>
    </row>
    <row r="45" spans="3:21">
      <c r="P45" s="415"/>
    </row>
    <row r="46" spans="3:21" hidden="1"/>
    <row r="47" spans="3:21" ht="24" hidden="1" customHeight="1">
      <c r="C47" s="395" t="s">
        <v>55</v>
      </c>
      <c r="D47" s="203" t="s">
        <v>56</v>
      </c>
      <c r="E47" s="340"/>
      <c r="F47" s="204"/>
      <c r="G47" s="204"/>
      <c r="H47" s="204"/>
      <c r="I47" s="416" t="s">
        <v>57</v>
      </c>
      <c r="J47" s="204"/>
      <c r="K47" s="204"/>
      <c r="L47" s="204"/>
      <c r="M47" s="204"/>
      <c r="N47" s="237"/>
    </row>
    <row r="48" spans="3:21" ht="21" hidden="1" customHeight="1">
      <c r="D48" s="329" t="s">
        <v>58</v>
      </c>
      <c r="E48" s="345"/>
      <c r="F48" s="238">
        <v>0</v>
      </c>
      <c r="G48" s="238">
        <v>0</v>
      </c>
      <c r="H48" s="238">
        <v>-3551130.0911666648</v>
      </c>
      <c r="I48" s="238">
        <v>-4462996.3711666651</v>
      </c>
      <c r="J48" s="238">
        <v>-4751028.2625000002</v>
      </c>
      <c r="K48" s="238">
        <v>-1148485</v>
      </c>
      <c r="L48" s="238"/>
      <c r="M48" s="238">
        <v>-1378000</v>
      </c>
      <c r="N48" s="239"/>
    </row>
    <row r="49" spans="4:22" s="417" customFormat="1" ht="21" hidden="1" customHeight="1">
      <c r="D49" s="334" t="s">
        <v>59</v>
      </c>
      <c r="E49" s="347"/>
      <c r="F49" s="242">
        <v>3033393</v>
      </c>
      <c r="G49" s="242">
        <v>0</v>
      </c>
      <c r="H49" s="242">
        <v>3551130.0911666648</v>
      </c>
      <c r="I49" s="242">
        <v>4462996.3711666651</v>
      </c>
      <c r="J49" s="242">
        <v>4751028.2625000002</v>
      </c>
      <c r="K49" s="242">
        <v>1148485</v>
      </c>
      <c r="L49" s="617"/>
      <c r="M49" s="242">
        <v>1378000</v>
      </c>
      <c r="N49" s="247"/>
    </row>
    <row r="50" spans="4:22" s="419" customFormat="1" ht="22" hidden="1" customHeight="1">
      <c r="D50" s="335" t="s">
        <v>60</v>
      </c>
      <c r="E50" s="347"/>
      <c r="F50" s="230">
        <v>3033393</v>
      </c>
      <c r="G50" s="230">
        <v>0</v>
      </c>
      <c r="H50" s="230">
        <v>0</v>
      </c>
      <c r="I50" s="248">
        <v>0</v>
      </c>
      <c r="J50" s="248">
        <v>-414435.45000000019</v>
      </c>
      <c r="K50" s="248">
        <v>1060140</v>
      </c>
      <c r="L50" s="248"/>
      <c r="M50" s="248">
        <v>1272000</v>
      </c>
      <c r="N50" s="231">
        <v>4951097.55</v>
      </c>
    </row>
    <row r="51" spans="4:22" s="420" customFormat="1" ht="22" hidden="1" customHeight="1">
      <c r="D51" s="336" t="s">
        <v>61</v>
      </c>
      <c r="E51" s="349"/>
      <c r="F51" s="339">
        <v>3033393</v>
      </c>
      <c r="G51" s="249">
        <v>3033393</v>
      </c>
      <c r="H51" s="249">
        <v>3033393</v>
      </c>
      <c r="I51" s="250">
        <v>3033393</v>
      </c>
      <c r="J51" s="250">
        <v>2618957.5499999998</v>
      </c>
      <c r="K51" s="250">
        <v>3679097.55</v>
      </c>
      <c r="L51" s="250"/>
      <c r="M51" s="250">
        <v>4951097.55</v>
      </c>
      <c r="N51" s="251">
        <v>4951097.55</v>
      </c>
    </row>
    <row r="52" spans="4:22" hidden="1">
      <c r="G52" s="421"/>
    </row>
    <row r="53" spans="4:22" hidden="1">
      <c r="G53" s="421"/>
    </row>
    <row r="54" spans="4:22">
      <c r="G54" s="421"/>
    </row>
    <row r="55" spans="4:22" ht="48" customHeight="1" thickBot="1">
      <c r="F55" s="539" t="s">
        <v>62</v>
      </c>
      <c r="G55" s="549"/>
      <c r="H55" s="549"/>
      <c r="I55" s="549"/>
      <c r="J55" s="549"/>
      <c r="K55" s="470"/>
      <c r="L55" s="618"/>
      <c r="M55" s="539" t="s">
        <v>69</v>
      </c>
      <c r="N55" s="549"/>
      <c r="O55" s="549"/>
      <c r="P55" s="549"/>
      <c r="Q55" s="549"/>
    </row>
    <row r="56" spans="4:22" s="383" customFormat="1" ht="37" customHeight="1">
      <c r="F56" s="471" t="s">
        <v>63</v>
      </c>
      <c r="G56" s="555" t="s">
        <v>64</v>
      </c>
      <c r="H56" s="556"/>
      <c r="I56" s="555" t="s">
        <v>65</v>
      </c>
      <c r="J56" s="556"/>
      <c r="K56" s="472"/>
      <c r="L56" s="619"/>
      <c r="M56" s="473" t="s">
        <v>63</v>
      </c>
      <c r="N56" s="557" t="s">
        <v>70</v>
      </c>
      <c r="O56" s="556"/>
      <c r="P56" s="557" t="s">
        <v>71</v>
      </c>
      <c r="Q56" s="556"/>
      <c r="T56" s="390"/>
      <c r="U56" s="390"/>
      <c r="V56" s="390"/>
    </row>
    <row r="57" spans="4:22" s="382" customFormat="1" ht="36" customHeight="1">
      <c r="F57" s="474"/>
      <c r="G57" s="475" t="s">
        <v>66</v>
      </c>
      <c r="H57" s="476" t="s">
        <v>67</v>
      </c>
      <c r="I57" s="475" t="s">
        <v>66</v>
      </c>
      <c r="J57" s="477" t="s">
        <v>67</v>
      </c>
      <c r="K57" s="478"/>
      <c r="L57" s="620"/>
      <c r="M57" s="479"/>
      <c r="N57" s="475" t="s">
        <v>72</v>
      </c>
      <c r="O57" s="480" t="s">
        <v>67</v>
      </c>
      <c r="P57" s="475" t="s">
        <v>73</v>
      </c>
      <c r="Q57" s="481" t="s">
        <v>67</v>
      </c>
      <c r="T57" s="388"/>
      <c r="U57" s="388"/>
      <c r="V57" s="388"/>
    </row>
    <row r="58" spans="4:22" s="382" customFormat="1">
      <c r="F58" s="482"/>
      <c r="G58" s="483"/>
      <c r="H58" s="483"/>
      <c r="I58" s="483"/>
      <c r="J58" s="484"/>
      <c r="K58" s="478"/>
      <c r="L58" s="620"/>
      <c r="M58" s="479"/>
      <c r="N58" s="480"/>
      <c r="O58" s="485"/>
      <c r="P58" s="486"/>
      <c r="Q58" s="487"/>
      <c r="T58" s="388"/>
      <c r="U58" s="388"/>
      <c r="V58" s="388"/>
    </row>
    <row r="59" spans="4:22" s="382" customFormat="1" ht="17" customHeight="1">
      <c r="F59" s="488" t="s">
        <v>121</v>
      </c>
      <c r="G59" s="489">
        <v>15291640</v>
      </c>
      <c r="H59" s="489">
        <v>15333393</v>
      </c>
      <c r="I59" s="489">
        <v>18577815</v>
      </c>
      <c r="J59" s="490">
        <v>18577815</v>
      </c>
      <c r="K59" s="478"/>
      <c r="L59" s="620"/>
      <c r="M59" s="488" t="s">
        <v>121</v>
      </c>
      <c r="N59" s="491">
        <v>3041397.3616000051</v>
      </c>
      <c r="O59" s="491">
        <v>5738338.9510000004</v>
      </c>
      <c r="P59" s="491">
        <v>2539295.7200000002</v>
      </c>
      <c r="Q59" s="492">
        <v>2383261</v>
      </c>
      <c r="T59" s="388"/>
      <c r="U59" s="388"/>
      <c r="V59" s="388"/>
    </row>
    <row r="60" spans="4:22" s="382" customFormat="1" ht="17" customHeight="1">
      <c r="F60" s="488" t="s">
        <v>249</v>
      </c>
      <c r="G60" s="489">
        <v>14115360</v>
      </c>
      <c r="H60" s="489">
        <v>4800000</v>
      </c>
      <c r="I60" s="489">
        <v>17148752</v>
      </c>
      <c r="J60" s="490">
        <v>17148752</v>
      </c>
      <c r="K60" s="478"/>
      <c r="L60" s="620"/>
      <c r="M60" s="488" t="s">
        <v>249</v>
      </c>
      <c r="N60" s="491">
        <v>2807443.7184000039</v>
      </c>
      <c r="O60" s="493" t="s">
        <v>74</v>
      </c>
      <c r="P60" s="491">
        <v>2343965.2799999998</v>
      </c>
      <c r="Q60" s="492">
        <v>2500000</v>
      </c>
      <c r="T60" s="388"/>
      <c r="U60" s="388"/>
      <c r="V60" s="388"/>
    </row>
    <row r="61" spans="4:22" s="386" customFormat="1" ht="18" customHeight="1" thickBot="1">
      <c r="F61" s="494" t="s">
        <v>68</v>
      </c>
      <c r="G61" s="495">
        <v>29407000</v>
      </c>
      <c r="H61" s="496">
        <v>20133393</v>
      </c>
      <c r="I61" s="497">
        <v>35726567</v>
      </c>
      <c r="J61" s="498">
        <v>35726567</v>
      </c>
      <c r="K61" s="499"/>
      <c r="L61" s="499"/>
      <c r="M61" s="494" t="s">
        <v>68</v>
      </c>
      <c r="N61" s="500">
        <v>5848841.0800000094</v>
      </c>
      <c r="O61" s="501">
        <v>5738338.9500000002</v>
      </c>
      <c r="P61" s="500">
        <v>4883261</v>
      </c>
      <c r="Q61" s="502">
        <v>4883261</v>
      </c>
      <c r="R61" s="422"/>
      <c r="S61" s="422"/>
      <c r="T61" s="388"/>
      <c r="U61" s="388"/>
      <c r="V61" s="388"/>
    </row>
    <row r="62" spans="4:22" s="386" customFormat="1" ht="18" customHeight="1">
      <c r="F62" s="499"/>
      <c r="G62" s="499"/>
      <c r="H62" s="499"/>
      <c r="I62" s="499"/>
      <c r="J62" s="499"/>
      <c r="K62" s="503"/>
      <c r="L62" s="503"/>
      <c r="M62" s="499"/>
      <c r="N62" s="504"/>
      <c r="O62" s="505"/>
      <c r="P62" s="505"/>
      <c r="Q62" s="506"/>
      <c r="R62" s="422"/>
      <c r="S62" s="422"/>
      <c r="T62" s="388"/>
      <c r="U62" s="388"/>
      <c r="V62" s="388"/>
    </row>
    <row r="63" spans="4:22" s="386" customFormat="1" ht="51" customHeight="1" thickBot="1">
      <c r="F63" s="539" t="s">
        <v>75</v>
      </c>
      <c r="G63" s="549"/>
      <c r="H63" s="549"/>
      <c r="I63" s="549"/>
      <c r="J63" s="549"/>
      <c r="K63" s="499"/>
      <c r="L63" s="499"/>
      <c r="M63" s="539" t="s">
        <v>240</v>
      </c>
      <c r="N63" s="540"/>
      <c r="O63" s="540"/>
      <c r="P63" s="540"/>
      <c r="Q63" s="540"/>
      <c r="R63" s="422"/>
      <c r="S63" s="422"/>
      <c r="T63" s="388"/>
      <c r="U63" s="388"/>
      <c r="V63" s="388"/>
    </row>
    <row r="64" spans="4:22" s="386" customFormat="1" ht="18" customHeight="1" thickBot="1">
      <c r="F64" s="473" t="s">
        <v>63</v>
      </c>
      <c r="G64" s="550" t="s">
        <v>76</v>
      </c>
      <c r="H64" s="551"/>
      <c r="I64" s="551"/>
      <c r="J64" s="552"/>
      <c r="K64" s="499"/>
      <c r="L64" s="499"/>
      <c r="M64" s="507" t="s">
        <v>81</v>
      </c>
      <c r="N64" s="508" t="s">
        <v>64</v>
      </c>
      <c r="O64" s="508" t="s">
        <v>82</v>
      </c>
      <c r="P64" s="508" t="s">
        <v>83</v>
      </c>
      <c r="Q64" s="509" t="s">
        <v>84</v>
      </c>
      <c r="T64" s="388"/>
      <c r="U64" s="388"/>
      <c r="V64" s="388"/>
    </row>
    <row r="65" spans="6:22" s="386" customFormat="1" ht="64" customHeight="1">
      <c r="F65" s="479"/>
      <c r="G65" s="480" t="s">
        <v>77</v>
      </c>
      <c r="H65" s="481" t="s">
        <v>78</v>
      </c>
      <c r="I65" s="475" t="s">
        <v>79</v>
      </c>
      <c r="J65" s="481" t="s">
        <v>80</v>
      </c>
      <c r="K65" s="499"/>
      <c r="L65" s="499"/>
      <c r="M65" s="510" t="s">
        <v>29</v>
      </c>
      <c r="N65" s="511">
        <v>18531958.490566041</v>
      </c>
      <c r="O65" s="512">
        <v>1341458.0800000089</v>
      </c>
      <c r="P65" s="513">
        <v>1167984.51</v>
      </c>
      <c r="Q65" s="514">
        <v>2143811.79</v>
      </c>
      <c r="T65" s="388"/>
      <c r="U65" s="388"/>
      <c r="V65" s="388"/>
    </row>
    <row r="66" spans="6:22" s="386" customFormat="1" ht="18" customHeight="1" thickBot="1">
      <c r="F66" s="479"/>
      <c r="G66" s="486"/>
      <c r="H66" s="487"/>
      <c r="I66" s="480"/>
      <c r="J66" s="515"/>
      <c r="K66" s="499"/>
      <c r="L66" s="499"/>
      <c r="M66" s="516" t="s">
        <v>85</v>
      </c>
      <c r="N66" s="517">
        <v>10875041.509433961</v>
      </c>
      <c r="O66" s="518">
        <v>4507383</v>
      </c>
      <c r="P66" s="519">
        <v>3715276.49</v>
      </c>
      <c r="Q66" s="520">
        <v>6819314.3399999999</v>
      </c>
      <c r="T66" s="388"/>
      <c r="U66" s="388"/>
      <c r="V66" s="388"/>
    </row>
    <row r="67" spans="6:22" s="386" customFormat="1" ht="18" customHeight="1">
      <c r="F67" s="488" t="s">
        <v>121</v>
      </c>
      <c r="G67" s="521">
        <v>8121599.9500000002</v>
      </c>
      <c r="H67" s="481">
        <v>5580693.0816000048</v>
      </c>
      <c r="I67" s="480">
        <v>4660825.5876000002</v>
      </c>
      <c r="J67" s="481">
        <v>2062457.61</v>
      </c>
      <c r="K67" s="499"/>
      <c r="L67" s="499"/>
      <c r="M67" s="499"/>
      <c r="N67" s="499"/>
      <c r="O67" s="499"/>
      <c r="P67" s="499"/>
      <c r="Q67" s="499"/>
      <c r="T67" s="388"/>
      <c r="U67" s="388"/>
      <c r="V67" s="388"/>
    </row>
    <row r="68" spans="6:22" s="386" customFormat="1" ht="18" customHeight="1">
      <c r="F68" s="488" t="s">
        <v>249</v>
      </c>
      <c r="G68" s="521">
        <v>2500000</v>
      </c>
      <c r="H68" s="481">
        <v>5151408.9984000046</v>
      </c>
      <c r="I68" s="480">
        <v>4302300.5424000006</v>
      </c>
      <c r="J68" s="522">
        <v>6900668.5199999996</v>
      </c>
      <c r="K68" s="499"/>
      <c r="L68" s="499"/>
      <c r="M68" s="499"/>
      <c r="N68" s="499"/>
      <c r="O68" s="499"/>
      <c r="P68" s="499"/>
      <c r="Q68" s="499"/>
      <c r="T68" s="388"/>
      <c r="U68" s="388"/>
      <c r="V68" s="388"/>
    </row>
    <row r="69" spans="6:22" s="386" customFormat="1" ht="18" customHeight="1" thickBot="1">
      <c r="F69" s="494" t="s">
        <v>68</v>
      </c>
      <c r="G69" s="523">
        <v>10621599.949999999</v>
      </c>
      <c r="H69" s="523">
        <v>10732102.08</v>
      </c>
      <c r="I69" s="495">
        <v>8963126.1300000008</v>
      </c>
      <c r="J69" s="524">
        <v>8963126.1300000008</v>
      </c>
      <c r="K69" s="499"/>
      <c r="L69" s="499"/>
      <c r="M69" s="499"/>
      <c r="N69" s="499"/>
      <c r="O69" s="499"/>
      <c r="P69" s="499"/>
      <c r="Q69" s="499"/>
      <c r="T69" s="388"/>
      <c r="U69" s="388"/>
      <c r="V69" s="388"/>
    </row>
    <row r="70" spans="6:22" s="386" customFormat="1" ht="18" customHeight="1">
      <c r="K70" s="387"/>
      <c r="L70" s="387"/>
      <c r="T70" s="388"/>
      <c r="U70" s="388"/>
      <c r="V70" s="388"/>
    </row>
    <row r="71" spans="6:22" s="386" customFormat="1" ht="26" customHeight="1" thickBot="1">
      <c r="F71" s="548" t="s">
        <v>115</v>
      </c>
      <c r="G71" s="548"/>
      <c r="H71" s="548"/>
      <c r="I71" s="548"/>
      <c r="J71" s="548"/>
      <c r="M71" s="544" t="s">
        <v>86</v>
      </c>
      <c r="N71" s="545"/>
      <c r="O71" s="545"/>
      <c r="P71" s="545"/>
      <c r="Q71" s="545"/>
      <c r="T71" s="388"/>
      <c r="U71" s="388"/>
      <c r="V71" s="388"/>
    </row>
    <row r="72" spans="6:22" s="386" customFormat="1" ht="18" customHeight="1" thickBot="1">
      <c r="F72" s="467"/>
      <c r="G72" s="467"/>
      <c r="H72" s="467"/>
      <c r="I72" s="467"/>
      <c r="J72" s="467"/>
      <c r="M72" s="562" t="s">
        <v>87</v>
      </c>
      <c r="N72" s="563" t="s">
        <v>88</v>
      </c>
      <c r="O72" s="564" t="s">
        <v>89</v>
      </c>
      <c r="P72" s="564" t="s">
        <v>90</v>
      </c>
      <c r="Q72" s="565" t="s">
        <v>91</v>
      </c>
      <c r="T72" s="388"/>
      <c r="U72" s="388"/>
      <c r="V72" s="388"/>
    </row>
    <row r="73" spans="6:22" s="386" customFormat="1" ht="60" customHeight="1" thickBot="1">
      <c r="F73" s="468" t="s">
        <v>116</v>
      </c>
      <c r="G73" s="466" t="s">
        <v>117</v>
      </c>
      <c r="H73" s="466" t="s">
        <v>118</v>
      </c>
      <c r="I73" s="466" t="s">
        <v>119</v>
      </c>
      <c r="J73" s="469" t="s">
        <v>120</v>
      </c>
      <c r="M73" s="570" t="s">
        <v>92</v>
      </c>
      <c r="N73" s="571" t="s">
        <v>93</v>
      </c>
      <c r="O73" s="572">
        <v>-1341458.0800000089</v>
      </c>
      <c r="P73" s="573">
        <v>-2541213</v>
      </c>
      <c r="Q73" s="574">
        <v>-3882671.08</v>
      </c>
      <c r="T73" s="388"/>
      <c r="U73" s="388"/>
      <c r="V73" s="388"/>
    </row>
    <row r="74" spans="6:22" s="386" customFormat="1" ht="62" customHeight="1">
      <c r="F74" s="585" t="s">
        <v>121</v>
      </c>
      <c r="G74" s="586">
        <f>P33</f>
        <v>5738338.9510000004</v>
      </c>
      <c r="H74" s="586">
        <f>R33</f>
        <v>2383261</v>
      </c>
      <c r="I74" s="586">
        <f>T33</f>
        <v>2062457.6106000049</v>
      </c>
      <c r="J74" s="586">
        <f>G74+H74+I74</f>
        <v>10184057.561600005</v>
      </c>
      <c r="M74" s="570" t="s">
        <v>94</v>
      </c>
      <c r="N74" s="575" t="s">
        <v>95</v>
      </c>
      <c r="O74" s="576">
        <v>0</v>
      </c>
      <c r="P74" s="576">
        <v>-1050000</v>
      </c>
      <c r="Q74" s="576">
        <v>-1050000</v>
      </c>
      <c r="T74" s="388"/>
      <c r="U74" s="388"/>
      <c r="V74" s="388"/>
    </row>
    <row r="75" spans="6:22" s="386" customFormat="1" ht="70" customHeight="1">
      <c r="F75" s="561" t="s">
        <v>249</v>
      </c>
      <c r="G75" s="587">
        <f>P34</f>
        <v>0</v>
      </c>
      <c r="H75" s="587">
        <f>R34</f>
        <v>2500000</v>
      </c>
      <c r="I75" s="587">
        <f>T34</f>
        <v>6900668.5184000041</v>
      </c>
      <c r="J75" s="587">
        <f>G75+H75+I75</f>
        <v>9400668.5184000041</v>
      </c>
      <c r="M75" s="570" t="s">
        <v>96</v>
      </c>
      <c r="N75" s="575" t="s">
        <v>97</v>
      </c>
      <c r="O75" s="576">
        <v>0</v>
      </c>
      <c r="P75" s="577">
        <v>-1050000</v>
      </c>
      <c r="Q75" s="577">
        <v>-1050000</v>
      </c>
      <c r="T75" s="388"/>
      <c r="U75" s="388"/>
      <c r="V75" s="388"/>
    </row>
    <row r="76" spans="6:22" s="386" customFormat="1" ht="18" customHeight="1" thickBot="1">
      <c r="F76" s="588"/>
      <c r="G76" s="589"/>
      <c r="H76" s="589"/>
      <c r="I76" s="589"/>
      <c r="J76" s="590"/>
      <c r="M76" s="566" t="s">
        <v>241</v>
      </c>
      <c r="N76" s="567"/>
      <c r="O76" s="568">
        <v>-1341458.08</v>
      </c>
      <c r="P76" s="568">
        <v>-5091213</v>
      </c>
      <c r="Q76" s="569">
        <v>-6432671.0800000001</v>
      </c>
      <c r="T76" s="388"/>
      <c r="U76" s="388"/>
      <c r="V76" s="388"/>
    </row>
    <row r="77" spans="6:22" s="386" customFormat="1" ht="18" customHeight="1">
      <c r="F77" s="588" t="s">
        <v>122</v>
      </c>
      <c r="G77" s="587">
        <f>G74+G75</f>
        <v>5738338.9510000004</v>
      </c>
      <c r="H77" s="587">
        <f>H74+H75</f>
        <v>4883261</v>
      </c>
      <c r="I77" s="587">
        <f>I74+I75</f>
        <v>8963126.1290000081</v>
      </c>
      <c r="J77" s="587">
        <f>J74+J75</f>
        <v>19584726.080000009</v>
      </c>
      <c r="M77" s="529"/>
      <c r="N77" s="529"/>
      <c r="O77" s="529"/>
      <c r="P77" s="529"/>
      <c r="Q77" s="529"/>
      <c r="T77" s="388"/>
      <c r="U77" s="388"/>
      <c r="V77" s="388"/>
    </row>
    <row r="78" spans="6:22" s="382" customFormat="1" ht="17" thickBot="1">
      <c r="F78" s="588"/>
      <c r="G78" s="588"/>
      <c r="H78" s="588"/>
      <c r="I78" s="588"/>
      <c r="J78" s="591"/>
      <c r="L78" s="600"/>
      <c r="M78" s="544" t="s">
        <v>250</v>
      </c>
      <c r="N78" s="545"/>
      <c r="O78" s="545"/>
      <c r="P78" s="545"/>
      <c r="Q78" s="545"/>
    </row>
    <row r="79" spans="6:22" s="382" customFormat="1" ht="29" customHeight="1">
      <c r="F79" s="588" t="s">
        <v>123</v>
      </c>
      <c r="G79" s="588">
        <v>0</v>
      </c>
      <c r="H79" s="588">
        <f>R31</f>
        <v>4430118</v>
      </c>
      <c r="I79" s="588">
        <f>T31</f>
        <v>3120000</v>
      </c>
      <c r="J79" s="587">
        <f>G79+H79+I79</f>
        <v>7550118</v>
      </c>
      <c r="L79" s="600"/>
      <c r="M79" s="578" t="s">
        <v>87</v>
      </c>
      <c r="N79" s="579" t="s">
        <v>88</v>
      </c>
      <c r="O79" s="579" t="s">
        <v>89</v>
      </c>
      <c r="P79" s="579" t="s">
        <v>90</v>
      </c>
      <c r="Q79" s="580" t="s">
        <v>91</v>
      </c>
    </row>
    <row r="80" spans="6:22" s="382" customFormat="1" ht="41" customHeight="1">
      <c r="F80" s="589" t="s">
        <v>251</v>
      </c>
      <c r="G80" s="589">
        <f>G77+G79</f>
        <v>5738338.9510000004</v>
      </c>
      <c r="H80" s="589">
        <f>H77+H79</f>
        <v>9313379</v>
      </c>
      <c r="I80" s="589">
        <f>I77+I79</f>
        <v>12083126.129000008</v>
      </c>
      <c r="J80" s="589">
        <f>J77+J79</f>
        <v>27134844.080000009</v>
      </c>
      <c r="L80" s="600"/>
      <c r="M80" s="581" t="s">
        <v>36</v>
      </c>
      <c r="N80" s="582" t="s">
        <v>98</v>
      </c>
      <c r="O80" s="583">
        <v>-1700000</v>
      </c>
      <c r="P80" s="583">
        <v>0</v>
      </c>
      <c r="Q80" s="583">
        <v>-1700000</v>
      </c>
    </row>
    <row r="81" spans="1:17" s="382" customFormat="1" ht="43" customHeight="1">
      <c r="L81" s="600"/>
      <c r="M81" s="581" t="s">
        <v>99</v>
      </c>
      <c r="N81" s="584" t="s">
        <v>100</v>
      </c>
      <c r="O81" s="583">
        <v>-136000</v>
      </c>
      <c r="P81" s="583">
        <v>-225000</v>
      </c>
      <c r="Q81" s="583">
        <v>-361000</v>
      </c>
    </row>
    <row r="82" spans="1:17" s="382" customFormat="1" ht="52" customHeight="1" thickBot="1">
      <c r="F82" s="601" t="s">
        <v>256</v>
      </c>
      <c r="G82" s="602"/>
      <c r="H82" s="602"/>
      <c r="I82" s="602"/>
      <c r="J82" s="602"/>
      <c r="K82" s="604" t="s">
        <v>257</v>
      </c>
      <c r="L82"/>
      <c r="M82" s="603" t="s">
        <v>101</v>
      </c>
      <c r="N82" s="584" t="s">
        <v>102</v>
      </c>
      <c r="O82" s="583">
        <v>0</v>
      </c>
      <c r="P82" s="583">
        <v>-4000000</v>
      </c>
      <c r="Q82" s="583">
        <v>-4000000</v>
      </c>
    </row>
    <row r="83" spans="1:17" s="382" customFormat="1" ht="61" thickBot="1">
      <c r="F83" s="596" t="s">
        <v>252</v>
      </c>
      <c r="G83" s="597" t="s">
        <v>253</v>
      </c>
      <c r="H83" s="598" t="s">
        <v>254</v>
      </c>
      <c r="I83" s="599" t="s">
        <v>255</v>
      </c>
      <c r="J83" s="622" t="s">
        <v>258</v>
      </c>
      <c r="K83" s="605"/>
      <c r="L83"/>
      <c r="M83" s="603" t="s">
        <v>103</v>
      </c>
      <c r="N83" s="584" t="s">
        <v>104</v>
      </c>
      <c r="O83" s="583">
        <v>0</v>
      </c>
      <c r="P83" s="583">
        <v>-1500000</v>
      </c>
      <c r="Q83" s="583">
        <v>-1500000</v>
      </c>
    </row>
    <row r="84" spans="1:17" s="600" customFormat="1">
      <c r="F84" s="592" t="s">
        <v>121</v>
      </c>
      <c r="G84" s="593">
        <f>ROUND(I74/3,2)</f>
        <v>687485.87</v>
      </c>
      <c r="H84" s="593">
        <f>G84</f>
        <v>687485.87</v>
      </c>
      <c r="I84" s="593">
        <f>I74-G84-H84</f>
        <v>687485.8706000048</v>
      </c>
      <c r="J84" s="593">
        <f>J74</f>
        <v>10184057.561600005</v>
      </c>
      <c r="K84" s="606">
        <f>J74/(J74+J75)</f>
        <v>0.52</v>
      </c>
      <c r="L84"/>
      <c r="M84" s="603"/>
      <c r="N84" s="584"/>
      <c r="O84" s="583"/>
      <c r="P84" s="583"/>
      <c r="Q84" s="583"/>
    </row>
    <row r="85" spans="1:17" s="382" customFormat="1" ht="49" customHeight="1">
      <c r="A85" s="423"/>
      <c r="B85" s="423"/>
      <c r="C85" s="423"/>
      <c r="D85" s="423"/>
      <c r="E85" s="423"/>
      <c r="F85" s="594" t="s">
        <v>249</v>
      </c>
      <c r="G85" s="595">
        <v>2500000</v>
      </c>
      <c r="H85" s="595">
        <v>2500000</v>
      </c>
      <c r="I85" s="595">
        <f>I75-G85-H85</f>
        <v>1900668.5184000041</v>
      </c>
      <c r="J85" s="607">
        <f>J75</f>
        <v>9400668.5184000041</v>
      </c>
      <c r="K85" s="608">
        <f>J75/(J74+J75)</f>
        <v>0.48</v>
      </c>
      <c r="L85"/>
      <c r="M85" s="603" t="s">
        <v>105</v>
      </c>
      <c r="N85" s="584" t="s">
        <v>106</v>
      </c>
      <c r="O85" s="583">
        <v>-851987</v>
      </c>
      <c r="P85" s="583">
        <v>-395295</v>
      </c>
      <c r="Q85" s="583">
        <v>-1247282</v>
      </c>
    </row>
    <row r="86" spans="1:17" s="382" customFormat="1" ht="76" customHeight="1">
      <c r="A86" s="423"/>
      <c r="B86" s="423"/>
      <c r="C86" s="423"/>
      <c r="D86" s="423"/>
      <c r="E86" s="423"/>
      <c r="L86" s="600"/>
      <c r="M86" s="581" t="s">
        <v>107</v>
      </c>
      <c r="N86" s="584" t="s">
        <v>108</v>
      </c>
      <c r="O86" s="583">
        <v>-1143556</v>
      </c>
      <c r="P86" s="583">
        <v>-703531</v>
      </c>
      <c r="Q86" s="583">
        <v>-1847087</v>
      </c>
    </row>
    <row r="87" spans="1:17" s="382" customFormat="1" ht="52" customHeight="1">
      <c r="A87" s="423"/>
      <c r="B87" s="423"/>
      <c r="C87" s="423"/>
      <c r="D87" s="423"/>
      <c r="E87" s="423"/>
      <c r="F87" s="423"/>
      <c r="G87" s="423"/>
      <c r="H87" s="423"/>
      <c r="I87" s="423"/>
      <c r="L87" s="600"/>
      <c r="M87" s="581" t="s">
        <v>109</v>
      </c>
      <c r="N87" s="584" t="s">
        <v>110</v>
      </c>
      <c r="O87" s="583">
        <v>-1049140</v>
      </c>
      <c r="P87" s="583">
        <v>-3375964</v>
      </c>
      <c r="Q87" s="583">
        <v>-4425104</v>
      </c>
    </row>
    <row r="88" spans="1:17" s="382" customFormat="1" ht="90" customHeight="1">
      <c r="A88" s="423"/>
      <c r="B88" s="423"/>
      <c r="C88" s="423"/>
      <c r="D88" s="423"/>
      <c r="E88" s="423"/>
      <c r="F88" s="423"/>
      <c r="G88" s="423"/>
      <c r="H88" s="423"/>
      <c r="I88" s="423"/>
      <c r="J88" s="201"/>
      <c r="L88" s="600"/>
      <c r="M88" s="581" t="s">
        <v>111</v>
      </c>
      <c r="N88" s="584" t="s">
        <v>112</v>
      </c>
      <c r="O88" s="583">
        <v>373300</v>
      </c>
      <c r="P88" s="583">
        <v>-5770000</v>
      </c>
      <c r="Q88" s="583">
        <v>-5396700</v>
      </c>
    </row>
    <row r="89" spans="1:17" ht="24" customHeight="1" thickBot="1">
      <c r="A89" s="423"/>
      <c r="B89" s="423"/>
      <c r="C89" s="423"/>
      <c r="D89" s="423"/>
      <c r="E89" s="423"/>
      <c r="F89" s="424"/>
      <c r="G89" s="424"/>
      <c r="H89" s="424"/>
      <c r="I89" s="424"/>
      <c r="J89" s="415"/>
      <c r="M89" s="566" t="s">
        <v>113</v>
      </c>
      <c r="N89" s="567"/>
      <c r="O89" s="568">
        <v>-4507383</v>
      </c>
      <c r="P89" s="568">
        <v>-15969790</v>
      </c>
      <c r="Q89" s="569">
        <v>-20477173</v>
      </c>
    </row>
    <row r="90" spans="1:17" s="415" customFormat="1" ht="24" customHeight="1" thickBot="1">
      <c r="A90" s="424"/>
      <c r="B90" s="424"/>
      <c r="C90" s="424"/>
      <c r="D90" s="424"/>
      <c r="E90" s="424"/>
      <c r="F90" s="424"/>
      <c r="G90" s="424"/>
      <c r="H90" s="424"/>
      <c r="I90" s="424"/>
      <c r="M90" s="525"/>
      <c r="N90" s="526"/>
      <c r="O90" s="527"/>
      <c r="P90" s="527"/>
      <c r="Q90" s="528"/>
    </row>
    <row r="91" spans="1:17" s="415" customFormat="1" ht="17" customHeight="1" thickBot="1">
      <c r="A91" s="424"/>
      <c r="B91" s="424"/>
      <c r="C91" s="424"/>
      <c r="D91" s="424"/>
      <c r="E91" s="424"/>
      <c r="F91" s="201"/>
      <c r="G91" s="201"/>
      <c r="H91" s="201"/>
      <c r="I91" s="201"/>
      <c r="J91" s="201"/>
      <c r="M91" s="553" t="s">
        <v>114</v>
      </c>
      <c r="N91" s="554"/>
      <c r="O91" s="530">
        <v>-5848841.0800000094</v>
      </c>
      <c r="P91" s="531">
        <v>-21286003</v>
      </c>
      <c r="Q91" s="532">
        <v>-27134844.079999998</v>
      </c>
    </row>
    <row r="92" spans="1:17">
      <c r="F92" s="423"/>
      <c r="G92" s="423"/>
      <c r="H92" s="423"/>
      <c r="I92" s="423"/>
      <c r="N92" s="425"/>
      <c r="O92" s="425"/>
      <c r="P92" s="425"/>
    </row>
    <row r="93" spans="1:17" ht="17" customHeight="1">
      <c r="A93" s="423"/>
      <c r="B93" s="423"/>
      <c r="C93" s="423"/>
      <c r="D93" s="423"/>
      <c r="E93" s="423"/>
      <c r="F93" s="423"/>
      <c r="G93" s="423"/>
      <c r="H93" s="423"/>
      <c r="I93" s="423"/>
      <c r="J93" s="424"/>
    </row>
    <row r="94" spans="1:17" ht="17" customHeight="1">
      <c r="A94" s="423"/>
      <c r="B94" s="423"/>
      <c r="C94" s="423"/>
      <c r="D94" s="423"/>
      <c r="E94" s="423"/>
      <c r="F94" s="423"/>
      <c r="G94" s="423"/>
      <c r="H94" s="423"/>
      <c r="I94" s="423"/>
      <c r="J94" s="424"/>
    </row>
    <row r="95" spans="1:17" ht="48" customHeight="1">
      <c r="A95" s="423"/>
      <c r="B95" s="423"/>
      <c r="C95" s="423"/>
      <c r="D95" s="423"/>
      <c r="E95" s="423"/>
      <c r="F95" s="424"/>
      <c r="G95" s="424"/>
      <c r="H95" s="424"/>
      <c r="I95" s="424"/>
      <c r="J95" s="424"/>
      <c r="K95" s="415"/>
      <c r="L95" s="415"/>
      <c r="M95" s="415"/>
      <c r="N95" s="415"/>
    </row>
    <row r="96" spans="1:17" ht="16" customHeight="1">
      <c r="A96" s="423"/>
      <c r="B96" s="423"/>
      <c r="C96" s="423"/>
      <c r="D96" s="423"/>
      <c r="E96" s="423"/>
      <c r="F96" s="423"/>
      <c r="G96" s="423"/>
      <c r="H96" s="423"/>
      <c r="I96" s="423"/>
      <c r="J96" s="423"/>
      <c r="K96" s="415"/>
      <c r="L96" s="415"/>
      <c r="M96" s="415"/>
      <c r="N96" s="415"/>
    </row>
    <row r="97" spans="1:21" ht="17" customHeight="1">
      <c r="A97" s="423"/>
      <c r="B97" s="423"/>
      <c r="C97" s="423"/>
      <c r="D97" s="423"/>
      <c r="E97" s="423"/>
      <c r="F97" s="423"/>
      <c r="G97" s="423"/>
      <c r="H97" s="423"/>
      <c r="I97" s="423"/>
      <c r="J97" s="423"/>
    </row>
    <row r="98" spans="1:21" ht="31" customHeight="1">
      <c r="A98" s="423"/>
      <c r="B98" s="423"/>
      <c r="C98" s="423"/>
      <c r="D98" s="423"/>
      <c r="E98" s="423"/>
      <c r="F98" s="423"/>
      <c r="G98" s="423"/>
      <c r="H98" s="423"/>
      <c r="I98" s="423"/>
      <c r="J98" s="423"/>
      <c r="Q98" s="426"/>
      <c r="R98" s="426"/>
      <c r="S98" s="426"/>
      <c r="T98" s="426"/>
      <c r="U98" s="426"/>
    </row>
    <row r="99" spans="1:21">
      <c r="A99" s="423"/>
      <c r="B99" s="423"/>
      <c r="C99" s="423"/>
      <c r="D99" s="423"/>
      <c r="E99" s="423"/>
      <c r="F99" s="423"/>
      <c r="G99" s="423"/>
      <c r="H99" s="423"/>
      <c r="I99" s="423"/>
      <c r="J99" s="423"/>
      <c r="Q99" s="427"/>
      <c r="R99" s="427"/>
      <c r="S99" s="427"/>
      <c r="T99" s="427"/>
      <c r="U99" s="427"/>
    </row>
    <row r="100" spans="1:21">
      <c r="A100" s="423"/>
      <c r="B100" s="423"/>
      <c r="C100" s="423"/>
      <c r="D100" s="423"/>
      <c r="E100" s="423"/>
      <c r="F100" s="423"/>
      <c r="G100" s="423"/>
      <c r="H100" s="423"/>
      <c r="I100" s="423"/>
      <c r="J100" s="423"/>
      <c r="Q100" s="427"/>
      <c r="R100" s="427"/>
      <c r="S100" s="427"/>
      <c r="T100" s="427"/>
      <c r="U100" s="427"/>
    </row>
    <row r="101" spans="1:21">
      <c r="A101" s="423"/>
      <c r="B101" s="423"/>
      <c r="C101" s="423"/>
      <c r="D101" s="423"/>
      <c r="E101" s="423"/>
      <c r="F101" s="423"/>
      <c r="G101" s="423"/>
      <c r="H101" s="423"/>
      <c r="I101" s="423"/>
      <c r="J101" s="423"/>
    </row>
    <row r="102" spans="1:21">
      <c r="A102" s="423"/>
      <c r="B102" s="423"/>
      <c r="C102" s="423"/>
      <c r="D102" s="423"/>
      <c r="E102" s="423"/>
      <c r="F102" s="423"/>
      <c r="G102" s="423"/>
      <c r="H102" s="423"/>
      <c r="I102" s="423"/>
      <c r="J102" s="423"/>
      <c r="Q102" s="427"/>
      <c r="R102" s="427"/>
      <c r="S102" s="427"/>
      <c r="T102" s="427"/>
      <c r="U102" s="427"/>
    </row>
    <row r="103" spans="1:21">
      <c r="A103" s="423"/>
      <c r="B103" s="423"/>
      <c r="C103" s="423"/>
      <c r="D103" s="423"/>
      <c r="E103" s="423"/>
      <c r="F103" s="423"/>
      <c r="G103" s="423"/>
      <c r="H103" s="423"/>
      <c r="I103" s="423"/>
      <c r="J103" s="423"/>
      <c r="R103" s="425"/>
    </row>
    <row r="104" spans="1:21">
      <c r="A104" s="423"/>
      <c r="B104" s="423"/>
      <c r="C104" s="423"/>
      <c r="D104" s="423"/>
      <c r="E104" s="423"/>
    </row>
    <row r="105" spans="1:21" ht="17" customHeight="1">
      <c r="S105" s="427"/>
    </row>
    <row r="107" spans="1:21">
      <c r="K107" s="423"/>
      <c r="L107" s="621"/>
      <c r="M107" s="423"/>
      <c r="N107" s="423"/>
      <c r="O107" s="423"/>
      <c r="P107" s="423"/>
    </row>
  </sheetData>
  <mergeCells count="18">
    <mergeCell ref="F82:J82"/>
    <mergeCell ref="M91:N91"/>
    <mergeCell ref="I56:J56"/>
    <mergeCell ref="G56:H56"/>
    <mergeCell ref="N56:O56"/>
    <mergeCell ref="P56:Q56"/>
    <mergeCell ref="G2:N2"/>
    <mergeCell ref="M63:Q63"/>
    <mergeCell ref="I5:M5"/>
    <mergeCell ref="M78:Q78"/>
    <mergeCell ref="G4:N4"/>
    <mergeCell ref="F71:J71"/>
    <mergeCell ref="F55:J55"/>
    <mergeCell ref="M55:Q55"/>
    <mergeCell ref="G64:J64"/>
    <mergeCell ref="F63:J63"/>
    <mergeCell ref="M71:Q71"/>
    <mergeCell ref="F5:H5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OI76"/>
  <sheetViews>
    <sheetView zoomScale="120" zoomScaleNormal="120" workbookViewId="0">
      <pane xSplit="14" ySplit="4" topLeftCell="S16" activePane="bottomRight" state="frozen"/>
      <selection pane="topRight" activeCell="B1" sqref="B1"/>
      <selection pane="bottomLeft" activeCell="A5" sqref="A5"/>
      <selection pane="bottomRight" activeCell="W31" sqref="W31"/>
    </sheetView>
  </sheetViews>
  <sheetFormatPr baseColWidth="10" defaultColWidth="10.6640625" defaultRowHeight="24" customHeight="1" outlineLevelCol="1"/>
  <cols>
    <col min="1" max="1" width="64.83203125" style="83" customWidth="1"/>
    <col min="2" max="2" width="16.83203125" style="83" hidden="1" customWidth="1" outlineLevel="1"/>
    <col min="3" max="3" width="17.6640625" style="83" hidden="1" customWidth="1" outlineLevel="1"/>
    <col min="4" max="4" width="19" style="83" hidden="1" customWidth="1" outlineLevel="1"/>
    <col min="5" max="5" width="17.1640625" style="83" hidden="1" customWidth="1" outlineLevel="1"/>
    <col min="6" max="6" width="18.5" style="83" hidden="1" customWidth="1" outlineLevel="1"/>
    <col min="7" max="7" width="16.5" style="83" hidden="1" customWidth="1" outlineLevel="1"/>
    <col min="8" max="10" width="17.1640625" style="82" hidden="1" customWidth="1" outlineLevel="1"/>
    <col min="11" max="11" width="19" style="82" hidden="1" customWidth="1" outlineLevel="1"/>
    <col min="12" max="12" width="19.1640625" style="82" hidden="1" customWidth="1" outlineLevel="1"/>
    <col min="13" max="13" width="20.6640625" style="82" hidden="1" customWidth="1" outlineLevel="1"/>
    <col min="14" max="14" width="19.6640625" style="82" customWidth="1" outlineLevel="1"/>
    <col min="15" max="15" width="19" style="82" customWidth="1" outlineLevel="1"/>
    <col min="16" max="16" width="18.5" style="82" customWidth="1" outlineLevel="1"/>
    <col min="17" max="25" width="18.83203125" style="82" customWidth="1" outlineLevel="1"/>
    <col min="26" max="26" width="21.5" style="82" customWidth="1" outlineLevel="1"/>
    <col min="27" max="27" width="25.33203125" style="82" customWidth="1"/>
    <col min="28" max="28" width="19.5" style="82" customWidth="1"/>
    <col min="29" max="29" width="19.33203125" style="82" customWidth="1"/>
    <col min="30" max="30" width="23.1640625" style="82" customWidth="1"/>
    <col min="31" max="31" width="22.5" style="82" customWidth="1"/>
    <col min="32" max="32" width="21.6640625" style="82" customWidth="1"/>
    <col min="33" max="33" width="29.5" style="82" customWidth="1"/>
    <col min="34" max="34" width="18.33203125" style="82" customWidth="1"/>
    <col min="35" max="35" width="25.5" style="82" customWidth="1"/>
    <col min="36" max="46" width="16.6640625" style="82" customWidth="1"/>
    <col min="47" max="55" width="10.6640625" style="82" customWidth="1"/>
    <col min="56" max="16384" width="10.6640625" style="82"/>
  </cols>
  <sheetData>
    <row r="2" spans="1:399" ht="24" customHeight="1">
      <c r="A2" s="135" t="s">
        <v>124</v>
      </c>
      <c r="B2" s="81"/>
      <c r="C2" s="81"/>
      <c r="D2" s="81"/>
      <c r="E2" s="81"/>
      <c r="F2" s="81"/>
      <c r="G2" s="81"/>
    </row>
    <row r="3" spans="1:399" ht="24" customHeight="1" thickBot="1"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I3" s="185" t="s">
        <v>125</v>
      </c>
      <c r="AJ3" s="140"/>
      <c r="AK3" s="140"/>
      <c r="AL3" s="140"/>
      <c r="AM3" s="140"/>
      <c r="AN3" s="140"/>
      <c r="AO3" s="140"/>
      <c r="AP3" s="140"/>
      <c r="AQ3" s="140"/>
      <c r="AR3" s="140"/>
      <c r="AS3" s="140"/>
      <c r="AT3" s="140"/>
      <c r="AU3" s="140"/>
    </row>
    <row r="4" spans="1:399" s="88" customFormat="1" ht="41" customHeight="1" thickBot="1">
      <c r="A4" s="85" t="s">
        <v>126</v>
      </c>
      <c r="B4" s="86" t="s">
        <v>127</v>
      </c>
      <c r="C4" s="86" t="s">
        <v>128</v>
      </c>
      <c r="D4" s="86" t="s">
        <v>129</v>
      </c>
      <c r="E4" s="86" t="s">
        <v>130</v>
      </c>
      <c r="F4" s="86" t="s">
        <v>131</v>
      </c>
      <c r="G4" s="86" t="s">
        <v>132</v>
      </c>
      <c r="H4" s="86" t="s">
        <v>133</v>
      </c>
      <c r="I4" s="86" t="s">
        <v>134</v>
      </c>
      <c r="J4" s="86" t="s">
        <v>135</v>
      </c>
      <c r="K4" s="86" t="s">
        <v>136</v>
      </c>
      <c r="L4" s="86" t="s">
        <v>137</v>
      </c>
      <c r="M4" s="86" t="s">
        <v>138</v>
      </c>
      <c r="N4" s="86" t="s">
        <v>139</v>
      </c>
      <c r="O4" s="86" t="s">
        <v>140</v>
      </c>
      <c r="P4" s="86" t="s">
        <v>141</v>
      </c>
      <c r="Q4" s="86" t="s">
        <v>142</v>
      </c>
      <c r="R4" s="86" t="s">
        <v>143</v>
      </c>
      <c r="S4" s="87">
        <v>37104</v>
      </c>
      <c r="T4" s="87">
        <v>37135</v>
      </c>
      <c r="U4" s="87">
        <v>37165</v>
      </c>
      <c r="V4" s="87">
        <v>37196</v>
      </c>
      <c r="W4" s="87">
        <v>37226</v>
      </c>
      <c r="X4" s="87">
        <v>37257</v>
      </c>
      <c r="Y4" s="87">
        <v>37288</v>
      </c>
      <c r="Z4" s="87">
        <v>37316</v>
      </c>
      <c r="AA4" s="87">
        <v>37347</v>
      </c>
      <c r="AB4" s="87">
        <v>37377</v>
      </c>
      <c r="AC4" s="87">
        <v>37408</v>
      </c>
      <c r="AD4" s="273" t="s">
        <v>144</v>
      </c>
      <c r="AE4" s="274" t="s">
        <v>145</v>
      </c>
      <c r="AF4" s="275" t="s">
        <v>146</v>
      </c>
      <c r="AG4" s="261" t="s">
        <v>147</v>
      </c>
      <c r="AH4" s="139"/>
      <c r="AI4" s="154"/>
      <c r="AJ4" s="150"/>
      <c r="AK4" s="151" t="s">
        <v>148</v>
      </c>
      <c r="AL4" s="150"/>
      <c r="AM4" s="150"/>
      <c r="AN4" s="152"/>
      <c r="AO4" s="152"/>
      <c r="AP4" s="152"/>
      <c r="AQ4" s="153"/>
      <c r="AR4" s="150"/>
      <c r="AS4" s="150"/>
      <c r="AT4" s="150"/>
      <c r="AU4" s="150"/>
      <c r="AV4" s="150"/>
      <c r="AW4" s="142"/>
      <c r="AX4" s="142"/>
      <c r="AY4" s="142"/>
      <c r="AZ4" s="142"/>
      <c r="BA4" s="142"/>
      <c r="BB4" s="142"/>
      <c r="BC4" s="142"/>
      <c r="BD4" s="142"/>
      <c r="BE4" s="142"/>
      <c r="BF4" s="142"/>
      <c r="BG4" s="142"/>
      <c r="BH4" s="142"/>
      <c r="BI4" s="142"/>
      <c r="BJ4" s="143"/>
      <c r="BK4" s="143"/>
      <c r="BL4" s="143"/>
      <c r="BM4" s="143"/>
      <c r="BN4" s="143"/>
      <c r="BO4" s="143"/>
      <c r="BP4" s="14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  <c r="CI4" s="93"/>
      <c r="CJ4" s="93"/>
      <c r="CK4" s="93"/>
      <c r="CL4" s="93"/>
      <c r="CM4" s="93"/>
      <c r="CN4" s="93"/>
      <c r="CO4" s="93"/>
      <c r="CP4" s="93"/>
      <c r="CQ4" s="93"/>
      <c r="CR4" s="93"/>
      <c r="CS4" s="93"/>
      <c r="CT4" s="93"/>
      <c r="CU4" s="93"/>
      <c r="CV4" s="93"/>
      <c r="CW4" s="93"/>
      <c r="CX4" s="93"/>
      <c r="CY4" s="93"/>
      <c r="CZ4" s="93"/>
      <c r="DA4" s="93"/>
      <c r="DB4" s="93"/>
      <c r="DC4" s="93"/>
      <c r="DD4" s="93"/>
      <c r="DE4" s="93"/>
      <c r="DF4" s="93"/>
      <c r="DG4" s="93"/>
      <c r="DH4" s="93"/>
      <c r="DI4" s="93"/>
      <c r="DJ4" s="93"/>
      <c r="DK4" s="93"/>
      <c r="DL4" s="93"/>
      <c r="DM4" s="93"/>
      <c r="DN4" s="93"/>
      <c r="DO4" s="93"/>
      <c r="DP4" s="93"/>
      <c r="DQ4" s="93"/>
      <c r="DR4" s="93"/>
      <c r="DS4" s="93"/>
      <c r="DT4" s="93"/>
      <c r="DU4" s="93"/>
      <c r="DV4" s="93"/>
      <c r="DW4" s="93"/>
      <c r="DX4" s="93"/>
      <c r="DY4" s="93"/>
      <c r="DZ4" s="93"/>
      <c r="EA4" s="93"/>
      <c r="EB4" s="93"/>
      <c r="EC4" s="93"/>
      <c r="ED4" s="93"/>
      <c r="EE4" s="93"/>
      <c r="EF4" s="93"/>
      <c r="EG4" s="93"/>
      <c r="EH4" s="93"/>
      <c r="EI4" s="93"/>
      <c r="EJ4" s="93"/>
      <c r="EK4" s="93"/>
      <c r="EL4" s="93"/>
      <c r="EM4" s="93"/>
      <c r="EN4" s="93"/>
      <c r="EO4" s="93"/>
      <c r="EP4" s="93"/>
      <c r="EQ4" s="93"/>
      <c r="ER4" s="93"/>
      <c r="ES4" s="93"/>
      <c r="ET4" s="93"/>
      <c r="EU4" s="93"/>
      <c r="EV4" s="93"/>
      <c r="EW4" s="93"/>
      <c r="EX4" s="93"/>
      <c r="EY4" s="93"/>
      <c r="EZ4" s="93"/>
      <c r="FA4" s="93"/>
      <c r="FB4" s="93"/>
      <c r="FC4" s="93"/>
      <c r="FD4" s="93"/>
      <c r="FE4" s="93"/>
      <c r="FF4" s="93"/>
      <c r="FG4" s="93"/>
      <c r="FH4" s="93"/>
      <c r="FI4" s="93"/>
      <c r="FJ4" s="93"/>
      <c r="FK4" s="93"/>
      <c r="FL4" s="93"/>
      <c r="FM4" s="93"/>
      <c r="FN4" s="93"/>
      <c r="FO4" s="93"/>
      <c r="FP4" s="93"/>
      <c r="FQ4" s="93"/>
      <c r="FR4" s="93"/>
      <c r="FS4" s="93"/>
      <c r="FT4" s="93"/>
      <c r="FU4" s="93"/>
      <c r="FV4" s="93"/>
      <c r="FW4" s="93"/>
      <c r="FX4" s="93"/>
      <c r="FY4" s="93"/>
      <c r="FZ4" s="93"/>
      <c r="GA4" s="93"/>
      <c r="GB4" s="93"/>
      <c r="GC4" s="93"/>
      <c r="GD4" s="93"/>
      <c r="GE4" s="93"/>
      <c r="GF4" s="93"/>
      <c r="GG4" s="93"/>
      <c r="GH4" s="93"/>
      <c r="GI4" s="93"/>
      <c r="GJ4" s="93"/>
      <c r="GK4" s="93"/>
      <c r="GL4" s="93"/>
      <c r="GM4" s="93"/>
      <c r="GN4" s="93"/>
      <c r="GO4" s="93"/>
      <c r="GP4" s="93"/>
      <c r="GQ4" s="93"/>
      <c r="GR4" s="93"/>
      <c r="GS4" s="93"/>
      <c r="GT4" s="93"/>
      <c r="GU4" s="93"/>
      <c r="GV4" s="93"/>
      <c r="GW4" s="93"/>
      <c r="GX4" s="93"/>
      <c r="GY4" s="93"/>
      <c r="GZ4" s="93"/>
      <c r="HA4" s="93"/>
      <c r="HB4" s="93"/>
      <c r="HC4" s="93"/>
      <c r="HD4" s="93"/>
      <c r="HE4" s="93"/>
      <c r="HF4" s="93"/>
      <c r="HG4" s="93"/>
      <c r="HH4" s="93"/>
      <c r="HI4" s="93"/>
      <c r="HJ4" s="93"/>
      <c r="HK4" s="93"/>
      <c r="HL4" s="93"/>
      <c r="HM4" s="93"/>
      <c r="HN4" s="93"/>
      <c r="HO4" s="93"/>
      <c r="HP4" s="93"/>
      <c r="HQ4" s="93"/>
      <c r="HR4" s="93"/>
      <c r="HS4" s="93"/>
      <c r="HT4" s="93"/>
      <c r="HU4" s="93"/>
      <c r="HV4" s="93"/>
      <c r="HW4" s="93"/>
      <c r="HX4" s="93"/>
      <c r="HY4" s="93"/>
      <c r="HZ4" s="93"/>
      <c r="IA4" s="93"/>
      <c r="IB4" s="93"/>
      <c r="IC4" s="93"/>
      <c r="ID4" s="93"/>
      <c r="IE4" s="93"/>
      <c r="IF4" s="93"/>
      <c r="IG4" s="93"/>
      <c r="IH4" s="93"/>
      <c r="II4" s="93"/>
      <c r="IJ4" s="93"/>
      <c r="IK4" s="93"/>
      <c r="IL4" s="93"/>
      <c r="IM4" s="93"/>
      <c r="IN4" s="93"/>
      <c r="IO4" s="93"/>
      <c r="IP4" s="93"/>
      <c r="IQ4" s="93"/>
      <c r="IR4" s="93"/>
      <c r="IS4" s="93"/>
      <c r="IT4" s="93"/>
      <c r="IU4" s="93"/>
      <c r="IV4" s="93"/>
      <c r="IW4" s="93"/>
      <c r="IX4" s="93"/>
      <c r="IY4" s="93"/>
      <c r="IZ4" s="93"/>
      <c r="JA4" s="93"/>
      <c r="JB4" s="93"/>
      <c r="JC4" s="93"/>
      <c r="JD4" s="93"/>
      <c r="JE4" s="93"/>
      <c r="JF4" s="93"/>
      <c r="JG4" s="93"/>
      <c r="JH4" s="93"/>
      <c r="JI4" s="93"/>
      <c r="JJ4" s="93"/>
      <c r="JK4" s="93"/>
      <c r="JL4" s="93"/>
      <c r="JM4" s="93"/>
      <c r="JN4" s="93"/>
      <c r="JO4" s="93"/>
      <c r="JP4" s="93"/>
      <c r="JQ4" s="93"/>
      <c r="JR4" s="93"/>
      <c r="JS4" s="93"/>
      <c r="JT4" s="93"/>
      <c r="JU4" s="93"/>
      <c r="JV4" s="93"/>
      <c r="JW4" s="93"/>
      <c r="JX4" s="93"/>
      <c r="JY4" s="93"/>
      <c r="JZ4" s="93"/>
      <c r="KA4" s="93"/>
      <c r="KB4" s="93"/>
      <c r="KC4" s="93"/>
      <c r="KD4" s="93"/>
      <c r="KE4" s="93"/>
      <c r="KF4" s="93"/>
      <c r="KG4" s="93"/>
      <c r="KH4" s="93"/>
      <c r="KI4" s="93"/>
      <c r="KJ4" s="93"/>
      <c r="KK4" s="93"/>
      <c r="KL4" s="93"/>
      <c r="KM4" s="93"/>
      <c r="KN4" s="93"/>
      <c r="KO4" s="93"/>
      <c r="KP4" s="93"/>
      <c r="KQ4" s="93"/>
      <c r="KR4" s="93"/>
      <c r="KS4" s="93"/>
      <c r="KT4" s="93"/>
      <c r="KU4" s="93"/>
      <c r="KV4" s="93"/>
      <c r="KW4" s="93"/>
      <c r="KX4" s="93"/>
      <c r="KY4" s="93"/>
      <c r="KZ4" s="93"/>
      <c r="LA4" s="93"/>
      <c r="LB4" s="93"/>
      <c r="LC4" s="93"/>
      <c r="LD4" s="93"/>
      <c r="LE4" s="93"/>
      <c r="LF4" s="93"/>
      <c r="LG4" s="93"/>
      <c r="LH4" s="93"/>
      <c r="LI4" s="93"/>
      <c r="LJ4" s="93"/>
      <c r="LK4" s="93"/>
      <c r="LL4" s="93"/>
      <c r="LM4" s="93"/>
      <c r="LN4" s="93"/>
      <c r="LO4" s="93"/>
      <c r="LP4" s="93"/>
      <c r="LQ4" s="93"/>
      <c r="LR4" s="93"/>
      <c r="LS4" s="93"/>
      <c r="LT4" s="93"/>
      <c r="LU4" s="93"/>
      <c r="LV4" s="93"/>
      <c r="LW4" s="93"/>
      <c r="LX4" s="93"/>
      <c r="LY4" s="93"/>
      <c r="LZ4" s="93"/>
      <c r="MA4" s="93"/>
      <c r="MB4" s="93"/>
      <c r="MC4" s="93"/>
      <c r="MD4" s="93"/>
      <c r="ME4" s="93"/>
      <c r="MF4" s="93"/>
      <c r="MG4" s="93"/>
      <c r="MH4" s="93"/>
      <c r="MI4" s="93"/>
      <c r="MJ4" s="93"/>
      <c r="MK4" s="93"/>
      <c r="ML4" s="93"/>
      <c r="MM4" s="93"/>
      <c r="MN4" s="93"/>
      <c r="MO4" s="93"/>
      <c r="MP4" s="93"/>
      <c r="MQ4" s="93"/>
      <c r="MR4" s="93"/>
      <c r="MS4" s="93"/>
      <c r="MT4" s="93"/>
      <c r="MU4" s="93"/>
      <c r="MV4" s="93"/>
      <c r="MW4" s="93"/>
      <c r="MX4" s="93"/>
      <c r="MY4" s="93"/>
      <c r="MZ4" s="93"/>
      <c r="NA4" s="93"/>
      <c r="NB4" s="93"/>
      <c r="NC4" s="93"/>
      <c r="ND4" s="93"/>
      <c r="NE4" s="93"/>
      <c r="NF4" s="93"/>
      <c r="NG4" s="93"/>
      <c r="NH4" s="93"/>
      <c r="NI4" s="93"/>
      <c r="NJ4" s="93"/>
      <c r="NK4" s="93"/>
      <c r="NL4" s="93"/>
      <c r="NM4" s="93"/>
      <c r="NN4" s="93"/>
      <c r="NO4" s="93"/>
      <c r="NP4" s="93"/>
      <c r="NQ4" s="93"/>
      <c r="NR4" s="93"/>
      <c r="NS4" s="93"/>
      <c r="NT4" s="93"/>
      <c r="NU4" s="93"/>
      <c r="NV4" s="93"/>
      <c r="NW4" s="93"/>
      <c r="NX4" s="93"/>
      <c r="NY4" s="93"/>
      <c r="NZ4" s="93"/>
      <c r="OA4" s="93"/>
      <c r="OB4" s="93"/>
      <c r="OC4" s="93"/>
      <c r="OD4" s="93"/>
      <c r="OE4" s="93"/>
      <c r="OF4" s="93"/>
      <c r="OG4" s="93"/>
      <c r="OH4" s="93"/>
      <c r="OI4" s="93"/>
    </row>
    <row r="5" spans="1:399" s="93" customFormat="1" ht="24" customHeight="1">
      <c r="A5" s="89"/>
      <c r="B5" s="90"/>
      <c r="C5" s="90"/>
      <c r="D5" s="90"/>
      <c r="E5" s="90"/>
      <c r="F5" s="90"/>
      <c r="G5" s="90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2"/>
      <c r="AB5" s="92"/>
      <c r="AC5" s="92"/>
      <c r="AD5" s="276"/>
      <c r="AE5" s="277"/>
      <c r="AF5" s="278"/>
      <c r="AG5" s="262"/>
      <c r="AI5" s="154"/>
      <c r="AJ5" s="150"/>
      <c r="AK5" s="187" t="s">
        <v>149</v>
      </c>
      <c r="AL5" s="154"/>
      <c r="AM5" s="154"/>
      <c r="AN5" s="152">
        <v>46113</v>
      </c>
      <c r="AO5" s="152">
        <v>46143</v>
      </c>
      <c r="AP5" s="152">
        <v>46174</v>
      </c>
      <c r="AQ5" s="153" t="s">
        <v>150</v>
      </c>
      <c r="AR5" s="150"/>
      <c r="AS5" s="150"/>
      <c r="AT5" s="150"/>
      <c r="AU5" s="150"/>
      <c r="AV5" s="150"/>
      <c r="AW5" s="142"/>
      <c r="AX5" s="142"/>
      <c r="AY5" s="142"/>
      <c r="AZ5" s="142"/>
      <c r="BA5" s="142"/>
      <c r="BB5" s="142"/>
      <c r="BC5" s="142"/>
      <c r="BD5" s="142"/>
      <c r="BE5" s="142"/>
      <c r="BF5" s="142"/>
      <c r="BG5" s="142"/>
      <c r="BH5" s="142"/>
      <c r="BI5" s="142"/>
      <c r="BJ5" s="143"/>
      <c r="BK5" s="143"/>
      <c r="BL5" s="143"/>
      <c r="BM5" s="143"/>
      <c r="BN5" s="143"/>
      <c r="BO5" s="143"/>
      <c r="BP5" s="143"/>
    </row>
    <row r="6" spans="1:399" ht="24" customHeight="1" thickBot="1">
      <c r="A6" s="94" t="s">
        <v>151</v>
      </c>
      <c r="B6" s="95"/>
      <c r="C6" s="95">
        <f t="shared" ref="C6:AC6" si="0">B38</f>
        <v>1355000</v>
      </c>
      <c r="D6" s="95">
        <f t="shared" si="0"/>
        <v>-482500</v>
      </c>
      <c r="E6" s="95">
        <f t="shared" si="0"/>
        <v>3317500</v>
      </c>
      <c r="F6" s="95">
        <f t="shared" si="0"/>
        <v>-1363000</v>
      </c>
      <c r="G6" s="95">
        <f t="shared" si="0"/>
        <v>1702974</v>
      </c>
      <c r="H6" s="95">
        <f t="shared" si="0"/>
        <v>4852882.24</v>
      </c>
      <c r="I6" s="95">
        <f t="shared" si="0"/>
        <v>2450702.4800000004</v>
      </c>
      <c r="J6" s="95">
        <f t="shared" si="0"/>
        <v>435361.90000000037</v>
      </c>
      <c r="K6" s="95">
        <f t="shared" si="0"/>
        <v>656879.02000000048</v>
      </c>
      <c r="L6" s="95">
        <f t="shared" si="0"/>
        <v>-5511675.9299999988</v>
      </c>
      <c r="M6" s="95">
        <f t="shared" si="0"/>
        <v>-5977933.8299999973</v>
      </c>
      <c r="N6" s="95">
        <f t="shared" si="0"/>
        <v>17001184.470000003</v>
      </c>
      <c r="O6" s="95">
        <f t="shared" si="0"/>
        <v>13625284.690000003</v>
      </c>
      <c r="P6" s="95">
        <f t="shared" si="0"/>
        <v>8738511.5300000031</v>
      </c>
      <c r="Q6" s="95">
        <f t="shared" si="0"/>
        <v>4987434.0400000028</v>
      </c>
      <c r="R6" s="95">
        <f t="shared" si="0"/>
        <v>742486.25000000303</v>
      </c>
      <c r="S6" s="95">
        <f t="shared" si="0"/>
        <v>6909341.870000002</v>
      </c>
      <c r="T6" s="95">
        <f t="shared" si="0"/>
        <v>2066194.4800000018</v>
      </c>
      <c r="U6" s="95">
        <f t="shared" si="0"/>
        <v>2053300.5000000028</v>
      </c>
      <c r="V6" s="95">
        <f t="shared" si="0"/>
        <v>1279962.7416000026</v>
      </c>
      <c r="W6" s="95">
        <f t="shared" si="0"/>
        <v>270211.56260000262</v>
      </c>
      <c r="X6" s="95">
        <f t="shared" si="0"/>
        <v>2569129.5626000026</v>
      </c>
      <c r="Y6" s="95">
        <f t="shared" si="0"/>
        <v>1778726.1626000027</v>
      </c>
      <c r="Z6" s="95">
        <f t="shared" si="0"/>
        <v>265892.16260000318</v>
      </c>
      <c r="AA6" s="96">
        <f t="shared" si="0"/>
        <v>224410.6826000032</v>
      </c>
      <c r="AB6" s="96">
        <f t="shared" si="0"/>
        <v>-299589.3173999968</v>
      </c>
      <c r="AC6" s="255">
        <f t="shared" si="0"/>
        <v>320410.6826000032</v>
      </c>
      <c r="AD6" s="279">
        <f>N6</f>
        <v>17001184.470000003</v>
      </c>
      <c r="AE6" s="280">
        <f>AD38</f>
        <v>2569129.5626000054</v>
      </c>
      <c r="AF6" s="281"/>
      <c r="AG6" s="263"/>
      <c r="AI6" s="184"/>
      <c r="AJ6" s="150"/>
      <c r="AK6" s="184"/>
      <c r="AL6" s="150"/>
      <c r="AM6" s="155" t="s">
        <v>152</v>
      </c>
      <c r="AN6" s="150"/>
      <c r="AO6" s="150"/>
      <c r="AP6" s="150"/>
      <c r="AQ6" s="150"/>
      <c r="AR6" s="150"/>
      <c r="AS6" s="150"/>
      <c r="AT6" s="150"/>
      <c r="AU6" s="150"/>
      <c r="AV6" s="150"/>
      <c r="AW6" s="142"/>
      <c r="AX6" s="142"/>
      <c r="AY6" s="142"/>
      <c r="AZ6" s="142"/>
      <c r="BA6" s="142"/>
      <c r="BB6" s="142"/>
      <c r="BC6" s="142"/>
      <c r="BD6" s="142"/>
      <c r="BE6" s="142"/>
      <c r="BF6" s="142"/>
      <c r="BG6" s="142"/>
      <c r="BH6" s="142"/>
      <c r="BI6" s="142"/>
      <c r="BJ6" s="144"/>
      <c r="BK6" s="144"/>
      <c r="BL6" s="144"/>
      <c r="BM6" s="144"/>
      <c r="BN6" s="144"/>
      <c r="BO6" s="144"/>
      <c r="BP6" s="144"/>
    </row>
    <row r="7" spans="1:399" ht="24" customHeight="1" thickBot="1">
      <c r="A7" s="97"/>
      <c r="B7" s="98"/>
      <c r="C7" s="98"/>
      <c r="D7" s="98"/>
      <c r="E7" s="98"/>
      <c r="F7" s="98"/>
      <c r="G7" s="98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100"/>
      <c r="AB7" s="100"/>
      <c r="AC7" s="100"/>
      <c r="AD7" s="282"/>
      <c r="AE7" s="283"/>
      <c r="AF7" s="284"/>
      <c r="AG7" s="264"/>
      <c r="AI7" s="149" t="s">
        <v>153</v>
      </c>
      <c r="AJ7" s="150"/>
      <c r="AK7" s="190" t="s">
        <v>154</v>
      </c>
      <c r="AL7" s="191"/>
      <c r="AM7" s="156"/>
      <c r="AN7" s="157">
        <f>SUM(AN8:AN12)</f>
        <v>-1400000</v>
      </c>
      <c r="AO7" s="158">
        <f>SUM(AO8:AO12)</f>
        <v>-1400000</v>
      </c>
      <c r="AP7" s="159">
        <f>SUM(AP8:AP12)</f>
        <v>-1550000</v>
      </c>
      <c r="AQ7" s="160">
        <f>SUM(AQ8:AQ12)</f>
        <v>-4350000</v>
      </c>
      <c r="AR7" s="150"/>
      <c r="AS7" s="150"/>
      <c r="AT7" s="150"/>
      <c r="AU7" s="150"/>
      <c r="AV7" s="150"/>
      <c r="AW7" s="142"/>
      <c r="AX7" s="142"/>
      <c r="AY7" s="142"/>
      <c r="AZ7" s="142"/>
      <c r="BA7" s="142"/>
      <c r="BB7" s="142"/>
      <c r="BC7" s="142"/>
      <c r="BD7" s="142"/>
      <c r="BE7" s="142"/>
      <c r="BF7" s="142"/>
      <c r="BG7" s="142"/>
      <c r="BH7" s="142"/>
      <c r="BI7" s="142"/>
      <c r="BJ7" s="144"/>
      <c r="BK7" s="144"/>
      <c r="BL7" s="144"/>
      <c r="BM7" s="144"/>
      <c r="BN7" s="144"/>
      <c r="BO7" s="144"/>
      <c r="BP7" s="144"/>
    </row>
    <row r="8" spans="1:399" s="88" customFormat="1" ht="24" customHeight="1">
      <c r="A8" s="101" t="s">
        <v>155</v>
      </c>
      <c r="B8" s="102"/>
      <c r="C8" s="102"/>
      <c r="D8" s="102"/>
      <c r="E8" s="102"/>
      <c r="F8" s="102"/>
      <c r="G8" s="102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285"/>
      <c r="AE8" s="286"/>
      <c r="AF8" s="287"/>
      <c r="AG8" s="265"/>
      <c r="AH8" s="93"/>
      <c r="AI8" s="149" t="s">
        <v>156</v>
      </c>
      <c r="AJ8" s="150"/>
      <c r="AK8" s="182" t="s">
        <v>157</v>
      </c>
      <c r="AL8" s="183"/>
      <c r="AM8" s="161" t="s">
        <v>158</v>
      </c>
      <c r="AN8" s="162">
        <f>AA14</f>
        <v>-350000</v>
      </c>
      <c r="AO8" s="163">
        <f>AB14</f>
        <v>-350000</v>
      </c>
      <c r="AP8" s="164">
        <f>AC14</f>
        <v>-350000</v>
      </c>
      <c r="AQ8" s="165">
        <f>SUM(AN8:AP8)</f>
        <v>-1050000</v>
      </c>
      <c r="AR8" s="166"/>
      <c r="AS8" s="150"/>
      <c r="AT8" s="150"/>
      <c r="AU8" s="150"/>
      <c r="AV8" s="150"/>
      <c r="AW8" s="142"/>
      <c r="AX8" s="142"/>
      <c r="AY8" s="142"/>
      <c r="AZ8" s="142"/>
      <c r="BA8" s="142"/>
      <c r="BB8" s="142"/>
      <c r="BC8" s="142"/>
      <c r="BD8" s="142"/>
      <c r="BE8" s="142"/>
      <c r="BF8" s="142"/>
      <c r="BG8" s="142"/>
      <c r="BH8" s="142"/>
      <c r="BI8" s="142"/>
      <c r="BJ8" s="143"/>
      <c r="BK8" s="143"/>
      <c r="BL8" s="143"/>
      <c r="BM8" s="143"/>
      <c r="BN8" s="143"/>
      <c r="BO8" s="143"/>
      <c r="BP8" s="14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  <c r="CI8" s="93"/>
      <c r="CJ8" s="93"/>
      <c r="CK8" s="93"/>
      <c r="CL8" s="93"/>
      <c r="CM8" s="93"/>
      <c r="CN8" s="93"/>
      <c r="CO8" s="93"/>
      <c r="CP8" s="93"/>
      <c r="CQ8" s="93"/>
      <c r="CR8" s="93"/>
      <c r="CS8" s="93"/>
      <c r="CT8" s="93"/>
      <c r="CU8" s="93"/>
      <c r="CV8" s="93"/>
      <c r="CW8" s="93"/>
      <c r="CX8" s="93"/>
      <c r="CY8" s="93"/>
      <c r="CZ8" s="93"/>
      <c r="DA8" s="93"/>
      <c r="DB8" s="93"/>
      <c r="DC8" s="93"/>
      <c r="DD8" s="93"/>
      <c r="DE8" s="93"/>
      <c r="DF8" s="93"/>
      <c r="DG8" s="93"/>
      <c r="DH8" s="93"/>
      <c r="DI8" s="93"/>
      <c r="DJ8" s="93"/>
      <c r="DK8" s="93"/>
      <c r="DL8" s="93"/>
      <c r="DM8" s="93"/>
      <c r="DN8" s="93"/>
      <c r="DO8" s="93"/>
      <c r="DP8" s="93"/>
      <c r="DQ8" s="93"/>
      <c r="DR8" s="93"/>
      <c r="DS8" s="93"/>
      <c r="DT8" s="93"/>
      <c r="DU8" s="93"/>
      <c r="DV8" s="93"/>
      <c r="DW8" s="93"/>
      <c r="DX8" s="93"/>
      <c r="DY8" s="93"/>
      <c r="DZ8" s="93"/>
      <c r="EA8" s="93"/>
      <c r="EB8" s="93"/>
      <c r="EC8" s="93"/>
      <c r="ED8" s="93"/>
      <c r="EE8" s="93"/>
      <c r="EF8" s="93"/>
      <c r="EG8" s="93"/>
      <c r="EH8" s="93"/>
      <c r="EI8" s="93"/>
      <c r="EJ8" s="93"/>
      <c r="EK8" s="93"/>
      <c r="EL8" s="93"/>
      <c r="EM8" s="93"/>
      <c r="EN8" s="93"/>
      <c r="EO8" s="93"/>
      <c r="EP8" s="93"/>
      <c r="EQ8" s="93"/>
      <c r="ER8" s="93"/>
      <c r="ES8" s="93"/>
      <c r="ET8" s="93"/>
      <c r="EU8" s="93"/>
      <c r="EV8" s="93"/>
      <c r="EW8" s="93"/>
      <c r="EX8" s="93"/>
      <c r="EY8" s="93"/>
      <c r="EZ8" s="93"/>
      <c r="FA8" s="93"/>
      <c r="FB8" s="93"/>
      <c r="FC8" s="93"/>
      <c r="FD8" s="93"/>
      <c r="FE8" s="93"/>
      <c r="FF8" s="93"/>
      <c r="FG8" s="93"/>
      <c r="FH8" s="93"/>
      <c r="FI8" s="93"/>
      <c r="FJ8" s="93"/>
      <c r="FK8" s="93"/>
      <c r="FL8" s="93"/>
      <c r="FM8" s="93"/>
      <c r="FN8" s="93"/>
      <c r="FO8" s="93"/>
      <c r="FP8" s="93"/>
      <c r="FQ8" s="93"/>
      <c r="FR8" s="93"/>
      <c r="FS8" s="93"/>
      <c r="FT8" s="93"/>
      <c r="FU8" s="93"/>
      <c r="FV8" s="93"/>
      <c r="FW8" s="93"/>
      <c r="FX8" s="93"/>
      <c r="FY8" s="93"/>
      <c r="FZ8" s="93"/>
      <c r="GA8" s="93"/>
      <c r="GB8" s="93"/>
      <c r="GC8" s="93"/>
      <c r="GD8" s="93"/>
      <c r="GE8" s="93"/>
      <c r="GF8" s="93"/>
      <c r="GG8" s="93"/>
      <c r="GH8" s="93"/>
      <c r="GI8" s="93"/>
      <c r="GJ8" s="93"/>
      <c r="GK8" s="93"/>
      <c r="GL8" s="93"/>
      <c r="GM8" s="93"/>
      <c r="GN8" s="93"/>
      <c r="GO8" s="93"/>
      <c r="GP8" s="93"/>
      <c r="GQ8" s="93"/>
      <c r="GR8" s="93"/>
      <c r="GS8" s="93"/>
      <c r="GT8" s="93"/>
      <c r="GU8" s="93"/>
      <c r="GV8" s="93"/>
      <c r="GW8" s="93"/>
      <c r="GX8" s="93"/>
      <c r="GY8" s="93"/>
      <c r="GZ8" s="93"/>
      <c r="HA8" s="93"/>
      <c r="HB8" s="93"/>
      <c r="HC8" s="93"/>
      <c r="HD8" s="93"/>
      <c r="HE8" s="93"/>
      <c r="HF8" s="93"/>
      <c r="HG8" s="93"/>
      <c r="HH8" s="93"/>
      <c r="HI8" s="93"/>
      <c r="HJ8" s="93"/>
      <c r="HK8" s="93"/>
      <c r="HL8" s="93"/>
      <c r="HM8" s="93"/>
      <c r="HN8" s="93"/>
      <c r="HO8" s="93"/>
      <c r="HP8" s="93"/>
      <c r="HQ8" s="93"/>
      <c r="HR8" s="93"/>
      <c r="HS8" s="93"/>
      <c r="HT8" s="93"/>
      <c r="HU8" s="93"/>
      <c r="HV8" s="93"/>
      <c r="HW8" s="93"/>
      <c r="HX8" s="93"/>
      <c r="HY8" s="93"/>
      <c r="HZ8" s="93"/>
      <c r="IA8" s="93"/>
      <c r="IB8" s="93"/>
      <c r="IC8" s="93"/>
      <c r="ID8" s="93"/>
      <c r="IE8" s="93"/>
      <c r="IF8" s="93"/>
      <c r="IG8" s="93"/>
      <c r="IH8" s="93"/>
      <c r="II8" s="93"/>
      <c r="IJ8" s="93"/>
      <c r="IK8" s="93"/>
      <c r="IL8" s="93"/>
      <c r="IM8" s="93"/>
      <c r="IN8" s="93"/>
      <c r="IO8" s="93"/>
      <c r="IP8" s="93"/>
      <c r="IQ8" s="93"/>
      <c r="IR8" s="93"/>
      <c r="IS8" s="93"/>
      <c r="IT8" s="93"/>
      <c r="IU8" s="93"/>
      <c r="IV8" s="93"/>
      <c r="IW8" s="93"/>
      <c r="IX8" s="93"/>
      <c r="IY8" s="93"/>
      <c r="IZ8" s="93"/>
      <c r="JA8" s="93"/>
      <c r="JB8" s="93"/>
      <c r="JC8" s="93"/>
      <c r="JD8" s="93"/>
      <c r="JE8" s="93"/>
      <c r="JF8" s="93"/>
      <c r="JG8" s="93"/>
      <c r="JH8" s="93"/>
      <c r="JI8" s="93"/>
      <c r="JJ8" s="93"/>
      <c r="JK8" s="93"/>
      <c r="JL8" s="93"/>
      <c r="JM8" s="93"/>
      <c r="JN8" s="93"/>
      <c r="JO8" s="93"/>
      <c r="JP8" s="93"/>
      <c r="JQ8" s="93"/>
      <c r="JR8" s="93"/>
      <c r="JS8" s="93"/>
      <c r="JT8" s="93"/>
      <c r="JU8" s="93"/>
      <c r="JV8" s="93"/>
      <c r="JW8" s="93"/>
      <c r="JX8" s="93"/>
      <c r="JY8" s="93"/>
      <c r="JZ8" s="93"/>
      <c r="KA8" s="93"/>
      <c r="KB8" s="93"/>
      <c r="KC8" s="93"/>
      <c r="KD8" s="93"/>
      <c r="KE8" s="93"/>
      <c r="KF8" s="93"/>
      <c r="KG8" s="93"/>
      <c r="KH8" s="93"/>
      <c r="KI8" s="93"/>
      <c r="KJ8" s="93"/>
      <c r="KK8" s="93"/>
      <c r="KL8" s="93"/>
      <c r="KM8" s="93"/>
      <c r="KN8" s="93"/>
      <c r="KO8" s="93"/>
      <c r="KP8" s="93"/>
      <c r="KQ8" s="93"/>
      <c r="KR8" s="93"/>
      <c r="KS8" s="93"/>
      <c r="KT8" s="93"/>
      <c r="KU8" s="93"/>
      <c r="KV8" s="93"/>
      <c r="KW8" s="93"/>
      <c r="KX8" s="93"/>
      <c r="KY8" s="93"/>
      <c r="KZ8" s="93"/>
      <c r="LA8" s="93"/>
      <c r="LB8" s="93"/>
      <c r="LC8" s="93"/>
      <c r="LD8" s="93"/>
      <c r="LE8" s="93"/>
      <c r="LF8" s="93"/>
      <c r="LG8" s="93"/>
      <c r="LH8" s="93"/>
      <c r="LI8" s="93"/>
      <c r="LJ8" s="93"/>
      <c r="LK8" s="93"/>
      <c r="LL8" s="93"/>
      <c r="LM8" s="93"/>
      <c r="LN8" s="93"/>
      <c r="LO8" s="93"/>
      <c r="LP8" s="93"/>
      <c r="LQ8" s="93"/>
      <c r="LR8" s="93"/>
      <c r="LS8" s="93"/>
      <c r="LT8" s="93"/>
      <c r="LU8" s="93"/>
      <c r="LV8" s="93"/>
      <c r="LW8" s="93"/>
      <c r="LX8" s="93"/>
      <c r="LY8" s="93"/>
      <c r="LZ8" s="93"/>
      <c r="MA8" s="93"/>
      <c r="MB8" s="93"/>
      <c r="MC8" s="93"/>
      <c r="MD8" s="93"/>
      <c r="ME8" s="93"/>
      <c r="MF8" s="93"/>
      <c r="MG8" s="93"/>
      <c r="MH8" s="93"/>
      <c r="MI8" s="93"/>
      <c r="MJ8" s="93"/>
      <c r="MK8" s="93"/>
      <c r="ML8" s="93"/>
      <c r="MM8" s="93"/>
      <c r="MN8" s="93"/>
      <c r="MO8" s="93"/>
      <c r="MP8" s="93"/>
      <c r="MQ8" s="93"/>
      <c r="MR8" s="93"/>
      <c r="MS8" s="93"/>
      <c r="MT8" s="93"/>
      <c r="MU8" s="93"/>
      <c r="MV8" s="93"/>
      <c r="MW8" s="93"/>
      <c r="MX8" s="93"/>
      <c r="MY8" s="93"/>
      <c r="MZ8" s="93"/>
      <c r="NA8" s="93"/>
      <c r="NB8" s="93"/>
      <c r="NC8" s="93"/>
      <c r="ND8" s="93"/>
      <c r="NE8" s="93"/>
      <c r="NF8" s="93"/>
      <c r="NG8" s="93"/>
      <c r="NH8" s="93"/>
      <c r="NI8" s="93"/>
      <c r="NJ8" s="93"/>
      <c r="NK8" s="93"/>
      <c r="NL8" s="93"/>
      <c r="NM8" s="93"/>
      <c r="NN8" s="93"/>
      <c r="NO8" s="93"/>
      <c r="NP8" s="93"/>
      <c r="NQ8" s="93"/>
      <c r="NR8" s="93"/>
      <c r="NS8" s="93"/>
      <c r="NT8" s="93"/>
      <c r="NU8" s="93"/>
      <c r="NV8" s="93"/>
      <c r="NW8" s="93"/>
      <c r="NX8" s="93"/>
      <c r="NY8" s="93"/>
      <c r="NZ8" s="93"/>
      <c r="OA8" s="93"/>
      <c r="OB8" s="93"/>
      <c r="OC8" s="93"/>
      <c r="OD8" s="93"/>
      <c r="OE8" s="93"/>
      <c r="OF8" s="93"/>
      <c r="OG8" s="93"/>
      <c r="OH8" s="93"/>
      <c r="OI8" s="93"/>
    </row>
    <row r="9" spans="1:399" ht="24" customHeight="1">
      <c r="A9" s="94" t="s">
        <v>159</v>
      </c>
      <c r="B9" s="95">
        <v>-6025000</v>
      </c>
      <c r="C9" s="95">
        <v>-2447500</v>
      </c>
      <c r="D9" s="95">
        <v>0</v>
      </c>
      <c r="E9" s="95">
        <v>-5625500</v>
      </c>
      <c r="F9" s="95">
        <v>-5801526</v>
      </c>
      <c r="G9" s="95"/>
      <c r="H9" s="95">
        <v>-4129588</v>
      </c>
      <c r="I9" s="95">
        <v>-1070089</v>
      </c>
      <c r="J9" s="95">
        <v>-1557241</v>
      </c>
      <c r="K9" s="95">
        <v>-3356909</v>
      </c>
      <c r="L9" s="95">
        <v>-2515021</v>
      </c>
      <c r="M9" s="95">
        <v>-2137684</v>
      </c>
      <c r="N9" s="95">
        <v>-1170136</v>
      </c>
      <c r="O9" s="95">
        <v>-2195244</v>
      </c>
      <c r="P9" s="95">
        <v>-1344630</v>
      </c>
      <c r="Q9" s="95">
        <v>-1051978</v>
      </c>
      <c r="R9" s="95">
        <v>-1733414</v>
      </c>
      <c r="S9" s="95">
        <v>-1693227</v>
      </c>
      <c r="T9" s="95">
        <f>-3090934+1550000</f>
        <v>-1540934</v>
      </c>
      <c r="U9" s="95">
        <v>-435140.62</v>
      </c>
      <c r="V9" s="95">
        <v>-1806961</v>
      </c>
      <c r="W9" s="95"/>
      <c r="X9" s="95"/>
      <c r="Y9" s="95"/>
      <c r="Z9" s="95"/>
      <c r="AA9" s="96"/>
      <c r="AB9" s="96"/>
      <c r="AC9" s="105"/>
      <c r="AD9" s="279">
        <f t="shared" ref="AD9:AD27" si="1">SUM(N9:W9)</f>
        <v>-12971664.619999999</v>
      </c>
      <c r="AE9" s="279">
        <f t="shared" ref="AE9:AE27" si="2">SUM(X9:AC9)</f>
        <v>0</v>
      </c>
      <c r="AF9" s="281">
        <f t="shared" ref="AF9:AF27" si="3">AD9+AE9</f>
        <v>-12971664.619999999</v>
      </c>
      <c r="AG9" s="266">
        <f>SUM(Z9)</f>
        <v>0</v>
      </c>
      <c r="AI9" s="149" t="s">
        <v>160</v>
      </c>
      <c r="AJ9" s="150"/>
      <c r="AK9" s="178" t="s">
        <v>161</v>
      </c>
      <c r="AL9" s="179"/>
      <c r="AM9" s="161" t="s">
        <v>158</v>
      </c>
      <c r="AN9" s="167">
        <f>AA16</f>
        <v>-150000</v>
      </c>
      <c r="AO9" s="168">
        <f>AB16</f>
        <v>-150000</v>
      </c>
      <c r="AP9" s="169">
        <f>AC16</f>
        <v>-150000</v>
      </c>
      <c r="AQ9" s="170">
        <f>SUM(AN9:AP9)</f>
        <v>-450000</v>
      </c>
      <c r="AR9" s="166"/>
      <c r="AS9" s="150"/>
      <c r="AT9" s="150"/>
      <c r="AU9" s="150"/>
      <c r="AV9" s="150"/>
      <c r="AW9" s="142"/>
      <c r="AX9" s="142"/>
      <c r="AY9" s="142"/>
      <c r="AZ9" s="142"/>
      <c r="BA9" s="142"/>
      <c r="BB9" s="142"/>
      <c r="BC9" s="142"/>
      <c r="BD9" s="142"/>
      <c r="BE9" s="142"/>
      <c r="BF9" s="142"/>
      <c r="BG9" s="142"/>
      <c r="BH9" s="142"/>
      <c r="BI9" s="142"/>
      <c r="BJ9" s="144"/>
      <c r="BK9" s="144"/>
      <c r="BL9" s="144"/>
      <c r="BM9" s="144"/>
      <c r="BN9" s="144"/>
      <c r="BO9" s="144"/>
      <c r="BP9" s="144"/>
    </row>
    <row r="10" spans="1:399" ht="24" customHeight="1">
      <c r="A10" s="94" t="s">
        <v>162</v>
      </c>
      <c r="B10" s="106"/>
      <c r="C10" s="106"/>
      <c r="D10" s="106"/>
      <c r="E10" s="106"/>
      <c r="F10" s="106"/>
      <c r="G10" s="106"/>
      <c r="H10" s="95"/>
      <c r="I10" s="95"/>
      <c r="J10" s="95">
        <v>-300000</v>
      </c>
      <c r="K10" s="95">
        <v>-221437</v>
      </c>
      <c r="L10" s="95">
        <f>-1423808+600000</f>
        <v>-823808</v>
      </c>
      <c r="M10" s="95">
        <f>-251462-600000</f>
        <v>-851462</v>
      </c>
      <c r="N10" s="95">
        <v>-450935</v>
      </c>
      <c r="O10" s="95">
        <v>-1076933</v>
      </c>
      <c r="P10" s="95">
        <v>-610739</v>
      </c>
      <c r="Q10" s="95">
        <v>-1192113</v>
      </c>
      <c r="R10" s="95">
        <v>-934072</v>
      </c>
      <c r="S10" s="95">
        <v>-1069427</v>
      </c>
      <c r="T10" s="95">
        <v>-1111918</v>
      </c>
      <c r="U10" s="95">
        <v>-575996.4</v>
      </c>
      <c r="V10" s="95">
        <v>-328000</v>
      </c>
      <c r="W10" s="95"/>
      <c r="X10" s="95"/>
      <c r="Y10" s="95"/>
      <c r="Z10" s="95"/>
      <c r="AA10" s="96"/>
      <c r="AB10" s="96"/>
      <c r="AC10" s="105"/>
      <c r="AD10" s="279">
        <f t="shared" si="1"/>
        <v>-7350133.4000000004</v>
      </c>
      <c r="AE10" s="279">
        <f t="shared" si="2"/>
        <v>0</v>
      </c>
      <c r="AF10" s="281">
        <f t="shared" si="3"/>
        <v>-7350133.4000000004</v>
      </c>
      <c r="AG10" s="266">
        <f>SUM(Z10)</f>
        <v>0</v>
      </c>
      <c r="AI10" s="149" t="s">
        <v>163</v>
      </c>
      <c r="AJ10" s="150"/>
      <c r="AK10" s="176" t="s">
        <v>164</v>
      </c>
      <c r="AL10" s="177"/>
      <c r="AM10" s="171" t="s">
        <v>165</v>
      </c>
      <c r="AN10" s="167">
        <f>AA15</f>
        <v>-550000</v>
      </c>
      <c r="AO10" s="168">
        <f>AB15</f>
        <v>-550000</v>
      </c>
      <c r="AP10" s="169">
        <f>AC15</f>
        <v>-550000</v>
      </c>
      <c r="AQ10" s="170">
        <f>SUM(AN10:AP10)</f>
        <v>-1650000</v>
      </c>
      <c r="AR10" s="166"/>
      <c r="AS10" s="150"/>
      <c r="AT10" s="150"/>
      <c r="AU10" s="150"/>
      <c r="AV10" s="150"/>
      <c r="AW10" s="142"/>
      <c r="AX10" s="142"/>
      <c r="AY10" s="142"/>
      <c r="AZ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4"/>
      <c r="BK10" s="144"/>
      <c r="BL10" s="144"/>
      <c r="BM10" s="144"/>
      <c r="BN10" s="144"/>
      <c r="BO10" s="144"/>
      <c r="BP10" s="144"/>
    </row>
    <row r="11" spans="1:399" ht="24" customHeight="1">
      <c r="A11" s="94" t="s">
        <v>166</v>
      </c>
      <c r="B11" s="106"/>
      <c r="C11" s="106"/>
      <c r="D11" s="106"/>
      <c r="E11" s="106"/>
      <c r="F11" s="106"/>
      <c r="G11" s="106"/>
      <c r="H11" s="95"/>
      <c r="I11" s="95">
        <v>-1116499</v>
      </c>
      <c r="J11" s="95">
        <v>-1230237</v>
      </c>
      <c r="K11" s="95">
        <v>-1507803</v>
      </c>
      <c r="L11" s="95">
        <v>-1638885</v>
      </c>
      <c r="M11" s="95">
        <v>-1211618</v>
      </c>
      <c r="N11" s="95">
        <v>-1044657</v>
      </c>
      <c r="O11" s="95">
        <v>-886555</v>
      </c>
      <c r="P11" s="95">
        <v>-814962</v>
      </c>
      <c r="Q11" s="95">
        <v>-898260</v>
      </c>
      <c r="R11" s="95">
        <v>-1104626</v>
      </c>
      <c r="S11" s="95">
        <v>-767953</v>
      </c>
      <c r="T11" s="95">
        <v>-883132</v>
      </c>
      <c r="U11" s="95">
        <v>-179797</v>
      </c>
      <c r="V11" s="95">
        <v>-100000</v>
      </c>
      <c r="W11" s="95"/>
      <c r="X11" s="95"/>
      <c r="Y11" s="95"/>
      <c r="Z11" s="95"/>
      <c r="AA11" s="96"/>
      <c r="AB11" s="96"/>
      <c r="AC11" s="105"/>
      <c r="AD11" s="279">
        <f t="shared" si="1"/>
        <v>-6679942</v>
      </c>
      <c r="AE11" s="279">
        <f t="shared" si="2"/>
        <v>0</v>
      </c>
      <c r="AF11" s="281">
        <f t="shared" si="3"/>
        <v>-6679942</v>
      </c>
      <c r="AG11" s="266">
        <f>SUM(Z11)</f>
        <v>0</v>
      </c>
      <c r="AI11" s="149" t="s">
        <v>167</v>
      </c>
      <c r="AJ11" s="150"/>
      <c r="AK11" s="178" t="s">
        <v>168</v>
      </c>
      <c r="AL11" s="179"/>
      <c r="AM11" s="171" t="s">
        <v>165</v>
      </c>
      <c r="AN11" s="167"/>
      <c r="AO11" s="168"/>
      <c r="AP11" s="169">
        <f>AC17</f>
        <v>-150000</v>
      </c>
      <c r="AQ11" s="170">
        <f>SUM(AN11:AP11)</f>
        <v>-150000</v>
      </c>
      <c r="AR11" s="166"/>
      <c r="AS11" s="150"/>
      <c r="AT11" s="150"/>
      <c r="AU11" s="150"/>
      <c r="AV11" s="150"/>
      <c r="AW11" s="142"/>
      <c r="AX11" s="142"/>
      <c r="AY11" s="142"/>
      <c r="AZ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4"/>
      <c r="BK11" s="144"/>
      <c r="BL11" s="144"/>
      <c r="BM11" s="144"/>
      <c r="BN11" s="144"/>
      <c r="BO11" s="144"/>
      <c r="BP11" s="144"/>
    </row>
    <row r="12" spans="1:399" ht="24" customHeight="1" thickBot="1">
      <c r="A12" s="94" t="s">
        <v>169</v>
      </c>
      <c r="B12" s="106"/>
      <c r="C12" s="106"/>
      <c r="D12" s="106"/>
      <c r="E12" s="106"/>
      <c r="F12" s="106"/>
      <c r="G12" s="106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>
        <v>2330000</v>
      </c>
      <c r="W12" s="95"/>
      <c r="X12" s="95"/>
      <c r="Y12" s="95"/>
      <c r="Z12" s="95"/>
      <c r="AA12" s="96"/>
      <c r="AB12" s="96"/>
      <c r="AC12" s="105"/>
      <c r="AD12" s="107">
        <f t="shared" si="1"/>
        <v>2330000</v>
      </c>
      <c r="AE12" s="279">
        <f t="shared" si="2"/>
        <v>0</v>
      </c>
      <c r="AF12" s="281">
        <f t="shared" si="3"/>
        <v>2330000</v>
      </c>
      <c r="AG12" s="266">
        <f>SUM(Z12:AC12)</f>
        <v>0</v>
      </c>
      <c r="AI12" s="149" t="s">
        <v>170</v>
      </c>
      <c r="AJ12" s="150"/>
      <c r="AK12" s="180" t="s">
        <v>171</v>
      </c>
      <c r="AL12" s="181"/>
      <c r="AM12" s="161" t="s">
        <v>172</v>
      </c>
      <c r="AN12" s="172">
        <f>AA19</f>
        <v>-350000</v>
      </c>
      <c r="AO12" s="173">
        <f>AB19</f>
        <v>-350000</v>
      </c>
      <c r="AP12" s="174">
        <f>AC19</f>
        <v>-350000</v>
      </c>
      <c r="AQ12" s="175">
        <f>SUM(AN12:AP12)</f>
        <v>-1050000</v>
      </c>
      <c r="AR12" s="166"/>
      <c r="AS12" s="150"/>
      <c r="AT12" s="150"/>
      <c r="AU12" s="150"/>
      <c r="AV12" s="150"/>
      <c r="AW12" s="142"/>
      <c r="AX12" s="142"/>
      <c r="AY12" s="142"/>
      <c r="AZ12" s="142"/>
      <c r="BA12" s="142"/>
      <c r="BB12" s="142"/>
      <c r="BC12" s="142"/>
      <c r="BD12" s="142"/>
      <c r="BE12" s="142"/>
      <c r="BF12" s="142"/>
      <c r="BG12" s="142"/>
      <c r="BH12" s="142"/>
      <c r="BI12" s="142"/>
      <c r="BJ12" s="144"/>
      <c r="BK12" s="144"/>
      <c r="BL12" s="144"/>
      <c r="BM12" s="144"/>
      <c r="BN12" s="144"/>
      <c r="BO12" s="144"/>
      <c r="BP12" s="144"/>
    </row>
    <row r="13" spans="1:399" ht="24" customHeight="1" thickBot="1">
      <c r="A13" s="94" t="s">
        <v>173</v>
      </c>
      <c r="B13" s="106"/>
      <c r="C13" s="106"/>
      <c r="D13" s="106"/>
      <c r="E13" s="106"/>
      <c r="F13" s="106"/>
      <c r="G13" s="106"/>
      <c r="H13" s="95"/>
      <c r="I13" s="95">
        <v>-398466</v>
      </c>
      <c r="J13" s="95">
        <v>-398466</v>
      </c>
      <c r="K13" s="95">
        <v>-398466</v>
      </c>
      <c r="L13" s="95">
        <v>-398466</v>
      </c>
      <c r="M13" s="95">
        <v>-398466</v>
      </c>
      <c r="N13" s="95">
        <v>-398466</v>
      </c>
      <c r="O13" s="95">
        <v>-398466</v>
      </c>
      <c r="P13" s="95">
        <v>-398466</v>
      </c>
      <c r="Q13" s="95">
        <v>-398466</v>
      </c>
      <c r="R13" s="95">
        <v>-132822</v>
      </c>
      <c r="S13" s="95">
        <v>-100000</v>
      </c>
      <c r="T13" s="95">
        <v>-100000</v>
      </c>
      <c r="U13" s="95">
        <v>-100000</v>
      </c>
      <c r="V13" s="95">
        <v>-100000</v>
      </c>
      <c r="W13" s="95"/>
      <c r="X13" s="95"/>
      <c r="Y13" s="95"/>
      <c r="Z13" s="95"/>
      <c r="AD13" s="279">
        <f t="shared" si="1"/>
        <v>-2126686</v>
      </c>
      <c r="AE13" s="279">
        <f t="shared" si="2"/>
        <v>0</v>
      </c>
      <c r="AF13" s="281">
        <f t="shared" si="3"/>
        <v>-2126686</v>
      </c>
      <c r="AH13" s="108" t="s">
        <v>174</v>
      </c>
      <c r="AI13" s="149" t="s">
        <v>175</v>
      </c>
      <c r="AJ13" s="150"/>
      <c r="AK13" s="150"/>
      <c r="AL13" s="150"/>
      <c r="AM13" s="150"/>
      <c r="AN13" s="166"/>
      <c r="AO13" s="166"/>
      <c r="AP13" s="166"/>
      <c r="AQ13" s="166"/>
      <c r="AR13" s="166"/>
      <c r="AS13" s="150"/>
      <c r="AT13" s="150"/>
      <c r="AU13" s="150"/>
      <c r="AV13" s="150"/>
      <c r="AW13" s="142"/>
      <c r="AX13" s="142"/>
      <c r="AY13" s="142"/>
      <c r="AZ13" s="142"/>
      <c r="BA13" s="142"/>
      <c r="BB13" s="142"/>
      <c r="BC13" s="142"/>
      <c r="BD13" s="142"/>
      <c r="BE13" s="142"/>
      <c r="BF13" s="142"/>
      <c r="BG13" s="142"/>
      <c r="BH13" s="142"/>
      <c r="BI13" s="142"/>
      <c r="BJ13" s="144"/>
      <c r="BK13" s="144"/>
      <c r="BL13" s="144"/>
      <c r="BM13" s="144"/>
      <c r="BN13" s="144"/>
      <c r="BO13" s="144"/>
      <c r="BP13" s="144"/>
    </row>
    <row r="14" spans="1:399" ht="24" customHeight="1" thickBot="1">
      <c r="A14" s="109" t="s">
        <v>176</v>
      </c>
      <c r="B14" s="106"/>
      <c r="C14" s="106"/>
      <c r="D14" s="106"/>
      <c r="E14" s="106"/>
      <c r="F14" s="106"/>
      <c r="G14" s="106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107">
        <v>-350000</v>
      </c>
      <c r="AB14" s="107">
        <v>-350000</v>
      </c>
      <c r="AC14" s="256">
        <v>-350000</v>
      </c>
      <c r="AD14" s="279">
        <f t="shared" si="1"/>
        <v>0</v>
      </c>
      <c r="AE14" s="107">
        <f t="shared" si="2"/>
        <v>-1050000</v>
      </c>
      <c r="AF14" s="281">
        <f t="shared" si="3"/>
        <v>-1050000</v>
      </c>
      <c r="AG14" s="266">
        <f t="shared" ref="AG14:AG27" si="4">SUM(AA14:AC14)</f>
        <v>-1050000</v>
      </c>
      <c r="AH14" s="108"/>
      <c r="AI14" s="149" t="s">
        <v>177</v>
      </c>
      <c r="AJ14" s="150"/>
      <c r="AK14" s="190" t="s">
        <v>178</v>
      </c>
      <c r="AL14" s="191"/>
      <c r="AM14" s="150"/>
      <c r="AN14" s="157">
        <f>SUM(AN15:AN17)</f>
        <v>-905000</v>
      </c>
      <c r="AO14" s="158">
        <f>SUM(AO15:AO17)</f>
        <v>-80000</v>
      </c>
      <c r="AP14" s="159">
        <f>SUM(AP15:AP17)</f>
        <v>-80000</v>
      </c>
      <c r="AQ14" s="160">
        <f>SUM(AQ15:AQ17)</f>
        <v>-1065000</v>
      </c>
      <c r="AR14" s="166"/>
      <c r="AS14" s="150"/>
      <c r="AT14" s="150"/>
      <c r="AU14" s="150"/>
      <c r="AV14" s="150"/>
      <c r="AW14" s="142"/>
      <c r="AX14" s="142"/>
      <c r="AY14" s="142"/>
      <c r="AZ14" s="142"/>
      <c r="BA14" s="142"/>
      <c r="BB14" s="142"/>
      <c r="BC14" s="142"/>
      <c r="BD14" s="142"/>
      <c r="BE14" s="142"/>
      <c r="BF14" s="142"/>
      <c r="BG14" s="142"/>
      <c r="BH14" s="142"/>
      <c r="BI14" s="142"/>
      <c r="BJ14" s="144"/>
      <c r="BK14" s="144"/>
      <c r="BL14" s="144"/>
      <c r="BM14" s="144"/>
      <c r="BN14" s="144"/>
      <c r="BO14" s="144"/>
      <c r="BP14" s="144"/>
    </row>
    <row r="15" spans="1:399" ht="24" customHeight="1">
      <c r="A15" s="94" t="s">
        <v>179</v>
      </c>
      <c r="B15" s="106"/>
      <c r="C15" s="106"/>
      <c r="D15" s="106"/>
      <c r="E15" s="106"/>
      <c r="F15" s="106"/>
      <c r="G15" s="106"/>
      <c r="H15" s="95"/>
      <c r="I15" s="95">
        <v>-48625</v>
      </c>
      <c r="J15" s="95"/>
      <c r="K15" s="95"/>
      <c r="L15" s="95"/>
      <c r="M15" s="95"/>
      <c r="N15" s="95">
        <f>-55798-14500-8865</f>
        <v>-79163</v>
      </c>
      <c r="O15" s="95">
        <f>-59683-45355</f>
        <v>-105038</v>
      </c>
      <c r="P15" s="95">
        <f>-90670-72423</f>
        <v>-163093</v>
      </c>
      <c r="Q15" s="95"/>
      <c r="R15" s="95">
        <v>-114053</v>
      </c>
      <c r="S15" s="95">
        <v>-510696</v>
      </c>
      <c r="T15" s="95">
        <f>-89511-76118-186068-10488-63695-30275</f>
        <v>-456155</v>
      </c>
      <c r="U15" s="95">
        <f>-20109.67-29272.66-13872.52-37004.44</f>
        <v>-100259.29000000001</v>
      </c>
      <c r="V15" s="95">
        <v>-226092.69</v>
      </c>
      <c r="W15" s="95">
        <v>0</v>
      </c>
      <c r="X15" s="95">
        <v>-139034</v>
      </c>
      <c r="Y15" s="95"/>
      <c r="Z15" s="95">
        <f>-25511-305170.67-17771-102826-41033-26769</f>
        <v>-519080.67</v>
      </c>
      <c r="AA15" s="96">
        <v>-550000</v>
      </c>
      <c r="AB15" s="96">
        <v>-550000</v>
      </c>
      <c r="AC15" s="255">
        <v>-550000</v>
      </c>
      <c r="AD15" s="279">
        <f t="shared" si="1"/>
        <v>-1754549.98</v>
      </c>
      <c r="AE15" s="279">
        <f t="shared" si="2"/>
        <v>-2308114.67</v>
      </c>
      <c r="AF15" s="281">
        <f t="shared" si="3"/>
        <v>-4062664.65</v>
      </c>
      <c r="AG15" s="266">
        <f t="shared" si="4"/>
        <v>-1650000</v>
      </c>
      <c r="AH15" s="108"/>
      <c r="AI15" s="149" t="s">
        <v>180</v>
      </c>
      <c r="AJ15" s="150"/>
      <c r="AK15" s="182" t="s">
        <v>181</v>
      </c>
      <c r="AL15" s="183"/>
      <c r="AM15" s="150"/>
      <c r="AN15" s="167">
        <f>AA24</f>
        <v>-225000</v>
      </c>
      <c r="AO15" s="168"/>
      <c r="AP15" s="168"/>
      <c r="AQ15" s="170">
        <f>SUM(AN15:AP15)</f>
        <v>-225000</v>
      </c>
      <c r="AR15" s="166"/>
      <c r="AS15" s="150"/>
      <c r="AT15" s="150"/>
      <c r="AU15" s="150"/>
      <c r="AV15" s="150"/>
      <c r="AW15" s="142"/>
      <c r="AX15" s="142"/>
      <c r="AY15" s="142"/>
      <c r="AZ15" s="142"/>
      <c r="BA15" s="142"/>
      <c r="BB15" s="142"/>
      <c r="BC15" s="142"/>
      <c r="BD15" s="142"/>
      <c r="BE15" s="142"/>
      <c r="BF15" s="142"/>
      <c r="BG15" s="142"/>
      <c r="BH15" s="142"/>
      <c r="BI15" s="142"/>
      <c r="BJ15" s="144"/>
      <c r="BK15" s="144"/>
      <c r="BL15" s="144"/>
      <c r="BM15" s="144"/>
      <c r="BN15" s="144"/>
      <c r="BO15" s="144"/>
      <c r="BP15" s="144"/>
    </row>
    <row r="16" spans="1:399" ht="24" customHeight="1">
      <c r="A16" s="109" t="s">
        <v>182</v>
      </c>
      <c r="B16" s="106"/>
      <c r="C16" s="106"/>
      <c r="D16" s="106"/>
      <c r="E16" s="106"/>
      <c r="F16" s="106"/>
      <c r="G16" s="106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6">
        <v>-150000</v>
      </c>
      <c r="AB16" s="96">
        <v>-150000</v>
      </c>
      <c r="AC16" s="255">
        <v>-150000</v>
      </c>
      <c r="AD16" s="279">
        <f t="shared" si="1"/>
        <v>0</v>
      </c>
      <c r="AE16" s="107">
        <f t="shared" si="2"/>
        <v>-450000</v>
      </c>
      <c r="AF16" s="281">
        <f t="shared" si="3"/>
        <v>-450000</v>
      </c>
      <c r="AG16" s="266">
        <f t="shared" si="4"/>
        <v>-450000</v>
      </c>
      <c r="AH16" s="108"/>
      <c r="AI16" s="149" t="s">
        <v>183</v>
      </c>
      <c r="AJ16" s="150"/>
      <c r="AK16" s="176" t="s">
        <v>184</v>
      </c>
      <c r="AL16" s="177"/>
      <c r="AM16" s="150"/>
      <c r="AN16" s="197">
        <f>AA18</f>
        <v>-80000</v>
      </c>
      <c r="AO16" s="198">
        <f>AB18</f>
        <v>-80000</v>
      </c>
      <c r="AP16" s="198">
        <f>AC18</f>
        <v>-80000</v>
      </c>
      <c r="AQ16" s="170">
        <f>SUM(AN16:AP16)</f>
        <v>-240000</v>
      </c>
      <c r="AR16" s="166"/>
      <c r="AS16" s="150"/>
      <c r="AT16" s="150"/>
      <c r="AU16" s="150"/>
      <c r="AV16" s="150"/>
      <c r="AW16" s="142"/>
      <c r="AX16" s="142"/>
      <c r="AY16" s="142"/>
      <c r="AZ16" s="142"/>
      <c r="BA16" s="142"/>
      <c r="BB16" s="142"/>
      <c r="BC16" s="142"/>
      <c r="BD16" s="142"/>
      <c r="BE16" s="142"/>
      <c r="BF16" s="142"/>
      <c r="BG16" s="142"/>
      <c r="BH16" s="142"/>
      <c r="BI16" s="142"/>
      <c r="BJ16" s="144"/>
      <c r="BK16" s="144"/>
      <c r="BL16" s="144"/>
      <c r="BM16" s="144"/>
      <c r="BN16" s="144"/>
      <c r="BO16" s="144"/>
      <c r="BP16" s="144"/>
    </row>
    <row r="17" spans="1:399" ht="24" customHeight="1" thickBot="1">
      <c r="A17" s="94" t="s">
        <v>185</v>
      </c>
      <c r="B17" s="106"/>
      <c r="C17" s="106"/>
      <c r="D17" s="106"/>
      <c r="E17" s="106"/>
      <c r="F17" s="106"/>
      <c r="G17" s="106"/>
      <c r="H17" s="95"/>
      <c r="I17" s="95"/>
      <c r="J17" s="95"/>
      <c r="K17" s="95">
        <v>-231851</v>
      </c>
      <c r="L17" s="95"/>
      <c r="M17" s="95">
        <v>-347953</v>
      </c>
      <c r="N17" s="95"/>
      <c r="O17" s="95"/>
      <c r="P17" s="95">
        <v>-85568</v>
      </c>
      <c r="Q17" s="95"/>
      <c r="R17" s="95"/>
      <c r="S17" s="95">
        <v>-267200</v>
      </c>
      <c r="T17" s="95"/>
      <c r="U17" s="95"/>
      <c r="V17" s="95"/>
      <c r="W17" s="95"/>
      <c r="X17" s="95"/>
      <c r="Y17" s="95"/>
      <c r="Z17" s="95">
        <v>-138216</v>
      </c>
      <c r="AA17" s="96"/>
      <c r="AB17" s="96"/>
      <c r="AC17" s="105">
        <v>-150000</v>
      </c>
      <c r="AD17" s="279">
        <f t="shared" si="1"/>
        <v>-352768</v>
      </c>
      <c r="AE17" s="279">
        <f t="shared" si="2"/>
        <v>-288216</v>
      </c>
      <c r="AF17" s="281">
        <f t="shared" si="3"/>
        <v>-640984</v>
      </c>
      <c r="AG17" s="266">
        <f t="shared" si="4"/>
        <v>-150000</v>
      </c>
      <c r="AH17" s="108"/>
      <c r="AI17" s="149" t="s">
        <v>186</v>
      </c>
      <c r="AJ17" s="150"/>
      <c r="AK17" s="188" t="s">
        <v>187</v>
      </c>
      <c r="AL17" s="189"/>
      <c r="AM17" s="150"/>
      <c r="AN17" s="172">
        <f>AA25</f>
        <v>-600000</v>
      </c>
      <c r="AO17" s="173"/>
      <c r="AP17" s="173"/>
      <c r="AQ17" s="175">
        <f>SUM(AN17:AP17)</f>
        <v>-600000</v>
      </c>
      <c r="AR17" s="166"/>
      <c r="AS17" s="150"/>
      <c r="AT17" s="150"/>
      <c r="AU17" s="150"/>
      <c r="AV17" s="150"/>
      <c r="AW17" s="142"/>
      <c r="AX17" s="142"/>
      <c r="AY17" s="142"/>
      <c r="AZ17" s="142"/>
      <c r="BA17" s="142"/>
      <c r="BB17" s="142"/>
      <c r="BC17" s="142"/>
      <c r="BD17" s="142"/>
      <c r="BE17" s="142"/>
      <c r="BF17" s="142"/>
      <c r="BG17" s="142"/>
      <c r="BH17" s="142"/>
      <c r="BI17" s="142"/>
      <c r="BJ17" s="144"/>
      <c r="BK17" s="144"/>
      <c r="BL17" s="144"/>
      <c r="BM17" s="144"/>
      <c r="BN17" s="144"/>
      <c r="BO17" s="144"/>
      <c r="BP17" s="144"/>
    </row>
    <row r="18" spans="1:399" ht="24" customHeight="1" thickBot="1">
      <c r="A18" s="94" t="s">
        <v>41</v>
      </c>
      <c r="B18" s="106"/>
      <c r="C18" s="106"/>
      <c r="D18" s="106"/>
      <c r="E18" s="106"/>
      <c r="F18" s="106"/>
      <c r="G18" s="106"/>
      <c r="H18" s="95"/>
      <c r="I18" s="95"/>
      <c r="J18" s="95"/>
      <c r="K18" s="95"/>
      <c r="L18" s="95"/>
      <c r="M18" s="95"/>
      <c r="N18" s="95"/>
      <c r="O18" s="95"/>
      <c r="P18" s="95"/>
      <c r="Q18" s="95">
        <v>-24550.240000000002</v>
      </c>
      <c r="R18" s="95"/>
      <c r="S18" s="95">
        <v>-172961</v>
      </c>
      <c r="T18" s="95">
        <v>-80000</v>
      </c>
      <c r="U18" s="95"/>
      <c r="V18" s="95">
        <f>-157200-52422</f>
        <v>-209622</v>
      </c>
      <c r="W18" s="95">
        <f>-372623-283800</f>
        <v>-656423</v>
      </c>
      <c r="X18" s="95">
        <v>-110000</v>
      </c>
      <c r="Y18" s="95"/>
      <c r="Z18" s="95">
        <v>-353531</v>
      </c>
      <c r="AA18" s="96">
        <f>-50000-30000</f>
        <v>-80000</v>
      </c>
      <c r="AB18" s="96">
        <f>-50000-30000</f>
        <v>-80000</v>
      </c>
      <c r="AC18" s="255">
        <f>-50000-30000</f>
        <v>-80000</v>
      </c>
      <c r="AD18" s="279">
        <f t="shared" si="1"/>
        <v>-1143556.24</v>
      </c>
      <c r="AE18" s="279">
        <f t="shared" si="2"/>
        <v>-703531</v>
      </c>
      <c r="AF18" s="281">
        <f t="shared" si="3"/>
        <v>-1847087.24</v>
      </c>
      <c r="AG18" s="266">
        <f t="shared" si="4"/>
        <v>-240000</v>
      </c>
      <c r="AH18" s="108"/>
      <c r="AI18" s="149" t="s">
        <v>188</v>
      </c>
      <c r="AJ18" s="150"/>
      <c r="AK18" s="150"/>
      <c r="AL18" s="150"/>
      <c r="AM18" s="150"/>
      <c r="AN18" s="166"/>
      <c r="AO18" s="166"/>
      <c r="AP18" s="166"/>
      <c r="AQ18" s="166"/>
      <c r="AR18" s="166"/>
      <c r="AS18" s="150"/>
      <c r="AT18" s="150"/>
      <c r="AU18" s="150"/>
      <c r="AV18" s="150"/>
      <c r="AW18" s="142"/>
      <c r="AX18" s="142"/>
      <c r="AY18" s="142"/>
      <c r="AZ18" s="142"/>
      <c r="BA18" s="142"/>
      <c r="BB18" s="142"/>
      <c r="BC18" s="142"/>
      <c r="BD18" s="142"/>
      <c r="BE18" s="142"/>
      <c r="BF18" s="142"/>
      <c r="BG18" s="142"/>
      <c r="BH18" s="142"/>
      <c r="BI18" s="142"/>
      <c r="BJ18" s="144"/>
      <c r="BK18" s="144"/>
      <c r="BL18" s="144"/>
      <c r="BM18" s="144"/>
      <c r="BN18" s="144"/>
      <c r="BO18" s="144"/>
      <c r="BP18" s="144"/>
    </row>
    <row r="19" spans="1:399" ht="24" customHeight="1" thickBot="1">
      <c r="A19" s="94" t="s">
        <v>189</v>
      </c>
      <c r="B19" s="106"/>
      <c r="C19" s="106"/>
      <c r="D19" s="106"/>
      <c r="E19" s="106"/>
      <c r="F19" s="106"/>
      <c r="G19" s="106"/>
      <c r="H19" s="95"/>
      <c r="I19" s="95">
        <v>-375098</v>
      </c>
      <c r="J19" s="95">
        <v>-348820</v>
      </c>
      <c r="K19" s="95">
        <f>-573519+122058</f>
        <v>-451461</v>
      </c>
      <c r="L19" s="95">
        <v>-305755</v>
      </c>
      <c r="M19" s="95">
        <f>-505196-170066+20595-162965</f>
        <v>-817632</v>
      </c>
      <c r="N19" s="95">
        <v>-365175</v>
      </c>
      <c r="O19" s="95">
        <v>-357968</v>
      </c>
      <c r="P19" s="95">
        <v>-319469</v>
      </c>
      <c r="Q19" s="95">
        <f>-864623-Q18-Q20-Q22</f>
        <v>-520981.76000000001</v>
      </c>
      <c r="R19" s="95">
        <f>-435082-262600</f>
        <v>-697682</v>
      </c>
      <c r="S19" s="95">
        <v>-296047</v>
      </c>
      <c r="T19" s="95">
        <f>-455408+80000</f>
        <v>-375408</v>
      </c>
      <c r="U19" s="95">
        <f>-277711.72-4000-3220-900-4410-68920.4</f>
        <v>-359162.12</v>
      </c>
      <c r="V19" s="95">
        <f>-200522-416726</f>
        <v>-617248</v>
      </c>
      <c r="W19" s="95">
        <f>-308527+41400</f>
        <v>-267127</v>
      </c>
      <c r="X19" s="95">
        <v>-385141</v>
      </c>
      <c r="Y19" s="95">
        <v>-173180</v>
      </c>
      <c r="Z19" s="95">
        <v>-237256</v>
      </c>
      <c r="AA19" s="96">
        <v>-350000</v>
      </c>
      <c r="AB19" s="96">
        <v>-350000</v>
      </c>
      <c r="AC19" s="255">
        <v>-350000</v>
      </c>
      <c r="AD19" s="279">
        <f t="shared" si="1"/>
        <v>-4176267.88</v>
      </c>
      <c r="AE19" s="279">
        <f t="shared" si="2"/>
        <v>-1845577</v>
      </c>
      <c r="AF19" s="281">
        <f t="shared" si="3"/>
        <v>-6021844.8799999999</v>
      </c>
      <c r="AG19" s="266">
        <f t="shared" si="4"/>
        <v>-1050000</v>
      </c>
      <c r="AH19" s="108"/>
      <c r="AI19" s="149" t="s">
        <v>190</v>
      </c>
      <c r="AJ19" s="150"/>
      <c r="AK19" s="190" t="s">
        <v>191</v>
      </c>
      <c r="AL19" s="191"/>
      <c r="AM19" s="150"/>
      <c r="AN19" s="157">
        <f>SUM(AN20:AN21)</f>
        <v>-219000</v>
      </c>
      <c r="AO19" s="158">
        <f>SUM(AO20:AO21)</f>
        <v>0</v>
      </c>
      <c r="AP19" s="159">
        <f>SUM(AP20:AP21)</f>
        <v>0</v>
      </c>
      <c r="AQ19" s="160">
        <f>SUM(AQ20:AQ21)</f>
        <v>-219000</v>
      </c>
      <c r="AR19" s="166"/>
      <c r="AS19" s="150"/>
      <c r="AT19" s="150"/>
      <c r="AU19" s="150"/>
      <c r="AV19" s="150"/>
      <c r="AW19" s="142"/>
      <c r="AX19" s="142"/>
      <c r="AY19" s="142"/>
      <c r="AZ19" s="142"/>
      <c r="BA19" s="142"/>
      <c r="BB19" s="142"/>
      <c r="BC19" s="142"/>
      <c r="BD19" s="142"/>
      <c r="BE19" s="142"/>
      <c r="BF19" s="142"/>
      <c r="BG19" s="142"/>
      <c r="BH19" s="142"/>
      <c r="BI19" s="142"/>
      <c r="BJ19" s="144"/>
      <c r="BK19" s="144"/>
      <c r="BL19" s="144"/>
      <c r="BM19" s="144"/>
      <c r="BN19" s="144"/>
      <c r="BO19" s="144"/>
      <c r="BP19" s="144"/>
    </row>
    <row r="20" spans="1:399" ht="24" customHeight="1">
      <c r="A20" s="110" t="s">
        <v>192</v>
      </c>
      <c r="B20" s="106"/>
      <c r="C20" s="106"/>
      <c r="D20" s="106"/>
      <c r="E20" s="106"/>
      <c r="F20" s="106"/>
      <c r="G20" s="106"/>
      <c r="H20" s="95"/>
      <c r="I20" s="95"/>
      <c r="J20" s="95"/>
      <c r="K20" s="95"/>
      <c r="L20" s="95"/>
      <c r="M20" s="95">
        <f>-40147-7095</f>
        <v>-47242</v>
      </c>
      <c r="N20" s="95"/>
      <c r="O20" s="95">
        <f>-44858</f>
        <v>-44858</v>
      </c>
      <c r="P20" s="95">
        <f>-17700-13062-7440-4655-71168</f>
        <v>-114025</v>
      </c>
      <c r="Q20" s="95">
        <v>-31112</v>
      </c>
      <c r="R20" s="95">
        <v>-4903</v>
      </c>
      <c r="S20" s="95"/>
      <c r="T20" s="95">
        <v>-21669</v>
      </c>
      <c r="U20" s="95">
        <f>-4023-4727-13110-19200</f>
        <v>-41060</v>
      </c>
      <c r="V20" s="95">
        <f>-19200-44599</f>
        <v>-63799</v>
      </c>
      <c r="W20" s="95"/>
      <c r="X20" s="95"/>
      <c r="Y20" s="95"/>
      <c r="Z20" s="95"/>
      <c r="AA20" s="96"/>
      <c r="AB20" s="96"/>
      <c r="AC20" s="105"/>
      <c r="AD20" s="279">
        <f t="shared" si="1"/>
        <v>-321426</v>
      </c>
      <c r="AE20" s="279">
        <f t="shared" si="2"/>
        <v>0</v>
      </c>
      <c r="AF20" s="281">
        <f t="shared" si="3"/>
        <v>-321426</v>
      </c>
      <c r="AG20" s="266">
        <f t="shared" si="4"/>
        <v>0</v>
      </c>
      <c r="AH20" s="108"/>
      <c r="AI20" s="149" t="s">
        <v>193</v>
      </c>
      <c r="AJ20" s="150"/>
      <c r="AK20" s="182" t="s">
        <v>194</v>
      </c>
      <c r="AL20" s="183"/>
      <c r="AM20" s="150"/>
      <c r="AN20" s="167">
        <f>AA27</f>
        <v>-219000</v>
      </c>
      <c r="AO20" s="168"/>
      <c r="AP20" s="168"/>
      <c r="AQ20" s="170">
        <f>SUM(AN20:AP20)</f>
        <v>-219000</v>
      </c>
      <c r="AR20" s="166"/>
      <c r="AS20" s="150"/>
      <c r="AT20" s="150"/>
      <c r="AU20" s="150"/>
      <c r="AV20" s="150"/>
      <c r="AW20" s="142"/>
      <c r="AX20" s="142"/>
      <c r="AY20" s="142"/>
      <c r="AZ20" s="142"/>
      <c r="BA20" s="142"/>
      <c r="BB20" s="142"/>
      <c r="BC20" s="142"/>
      <c r="BD20" s="142"/>
      <c r="BE20" s="142"/>
      <c r="BF20" s="142"/>
      <c r="BG20" s="142"/>
      <c r="BH20" s="142"/>
      <c r="BI20" s="142"/>
      <c r="BJ20" s="144"/>
      <c r="BK20" s="144"/>
      <c r="BL20" s="144"/>
      <c r="BM20" s="144"/>
      <c r="BN20" s="144"/>
      <c r="BO20" s="144"/>
      <c r="BP20" s="144"/>
    </row>
    <row r="21" spans="1:399" ht="24" customHeight="1" thickBot="1">
      <c r="A21" s="94" t="s">
        <v>195</v>
      </c>
      <c r="B21" s="106"/>
      <c r="C21" s="106"/>
      <c r="D21" s="106"/>
      <c r="E21" s="106"/>
      <c r="F21" s="106"/>
      <c r="G21" s="106"/>
      <c r="H21" s="95"/>
      <c r="I21" s="95"/>
      <c r="J21" s="95"/>
      <c r="K21" s="95"/>
      <c r="L21" s="95"/>
      <c r="M21" s="95">
        <f>-460000-600000</f>
        <v>-1060000</v>
      </c>
      <c r="N21" s="95">
        <v>-465000</v>
      </c>
      <c r="O21" s="95"/>
      <c r="P21" s="95">
        <f>-775000-76307</f>
        <v>-851307</v>
      </c>
      <c r="Q21" s="95"/>
      <c r="R21" s="95">
        <v>-150000</v>
      </c>
      <c r="S21" s="95">
        <v>-55279</v>
      </c>
      <c r="T21" s="95">
        <f>-150000-68010-21364</f>
        <v>-239374</v>
      </c>
      <c r="U21" s="95">
        <f>-104979.13-15625</f>
        <v>-120604.13</v>
      </c>
      <c r="V21" s="95">
        <v>-55279</v>
      </c>
      <c r="W21" s="95"/>
      <c r="X21" s="95">
        <v>-11513</v>
      </c>
      <c r="Y21" s="95">
        <v>-18426</v>
      </c>
      <c r="Z21" s="95"/>
      <c r="AA21" s="96"/>
      <c r="AB21" s="96"/>
      <c r="AC21" s="105"/>
      <c r="AD21" s="279">
        <f t="shared" si="1"/>
        <v>-1936843.13</v>
      </c>
      <c r="AE21" s="279">
        <f t="shared" si="2"/>
        <v>-29939</v>
      </c>
      <c r="AF21" s="281">
        <f t="shared" si="3"/>
        <v>-1966782.13</v>
      </c>
      <c r="AG21" s="266">
        <f t="shared" si="4"/>
        <v>0</v>
      </c>
      <c r="AH21" s="108"/>
      <c r="AI21" s="149"/>
      <c r="AJ21" s="150"/>
      <c r="AK21" s="188" t="s">
        <v>196</v>
      </c>
      <c r="AL21" s="189"/>
      <c r="AM21" s="150"/>
      <c r="AN21" s="172">
        <f>AA29</f>
        <v>0</v>
      </c>
      <c r="AO21" s="173"/>
      <c r="AP21" s="173"/>
      <c r="AQ21" s="175">
        <f>SUM(AN21:AP21)</f>
        <v>0</v>
      </c>
      <c r="AR21" s="166"/>
      <c r="AS21" s="150"/>
      <c r="AT21" s="150"/>
      <c r="AU21" s="150"/>
      <c r="AV21" s="150"/>
      <c r="AW21" s="142"/>
      <c r="AX21" s="142"/>
      <c r="AY21" s="142"/>
      <c r="AZ21" s="142"/>
      <c r="BA21" s="142"/>
      <c r="BB21" s="142"/>
      <c r="BC21" s="142"/>
      <c r="BD21" s="142"/>
      <c r="BE21" s="142"/>
      <c r="BF21" s="142"/>
      <c r="BG21" s="142"/>
      <c r="BH21" s="142"/>
      <c r="BI21" s="142"/>
      <c r="BJ21" s="144"/>
      <c r="BK21" s="144"/>
      <c r="BL21" s="144"/>
      <c r="BM21" s="144"/>
      <c r="BN21" s="144"/>
      <c r="BO21" s="144"/>
      <c r="BP21" s="144"/>
    </row>
    <row r="22" spans="1:399" ht="24" customHeight="1" thickBot="1">
      <c r="A22" s="94" t="s">
        <v>197</v>
      </c>
      <c r="B22" s="106"/>
      <c r="C22" s="106"/>
      <c r="D22" s="106"/>
      <c r="E22" s="106"/>
      <c r="F22" s="106"/>
      <c r="G22" s="106"/>
      <c r="H22" s="95"/>
      <c r="I22" s="95"/>
      <c r="J22" s="95"/>
      <c r="K22" s="95">
        <v>-122058</v>
      </c>
      <c r="L22" s="95">
        <f>-134603-181082</f>
        <v>-315685</v>
      </c>
      <c r="M22" s="95">
        <f>-20595-9159-79676-115750-6903</f>
        <v>-232083</v>
      </c>
      <c r="N22" s="95"/>
      <c r="O22" s="95"/>
      <c r="P22" s="95">
        <f>-61091-23002</f>
        <v>-84093</v>
      </c>
      <c r="Q22" s="95">
        <f>-9669-189687-71481-17142</f>
        <v>-287979</v>
      </c>
      <c r="R22" s="95">
        <f>-60759-211545</f>
        <v>-272304</v>
      </c>
      <c r="S22" s="95">
        <f>-68021-254865</f>
        <v>-322886</v>
      </c>
      <c r="T22" s="95">
        <v>-28068</v>
      </c>
      <c r="U22" s="95">
        <f>-48813.69-225.98-4105.5-7887.27-6791.85-11196</f>
        <v>-79020.290000000008</v>
      </c>
      <c r="V22" s="95">
        <v>-59541</v>
      </c>
      <c r="W22" s="95">
        <v>-180827</v>
      </c>
      <c r="X22" s="95">
        <v>-262812</v>
      </c>
      <c r="Y22" s="95">
        <v>-102544</v>
      </c>
      <c r="Z22" s="95"/>
      <c r="AA22" s="96"/>
      <c r="AB22" s="96"/>
      <c r="AC22" s="105"/>
      <c r="AD22" s="279">
        <f t="shared" si="1"/>
        <v>-1314718.29</v>
      </c>
      <c r="AE22" s="279">
        <f t="shared" si="2"/>
        <v>-365356</v>
      </c>
      <c r="AF22" s="281">
        <f t="shared" si="3"/>
        <v>-1680074.29</v>
      </c>
      <c r="AG22" s="266">
        <f t="shared" si="4"/>
        <v>0</v>
      </c>
      <c r="AH22" s="108"/>
      <c r="AI22" s="149"/>
      <c r="AJ22" s="150"/>
      <c r="AK22" s="150"/>
      <c r="AL22" s="150"/>
      <c r="AM22" s="150"/>
      <c r="AN22" s="166"/>
      <c r="AO22" s="166"/>
      <c r="AP22" s="166"/>
      <c r="AQ22" s="166"/>
      <c r="AR22" s="166"/>
      <c r="AS22" s="150"/>
      <c r="AT22" s="150"/>
      <c r="AU22" s="150"/>
      <c r="AV22" s="150"/>
      <c r="AW22" s="142"/>
      <c r="AX22" s="142"/>
      <c r="AY22" s="142"/>
      <c r="AZ22" s="142"/>
      <c r="BA22" s="142"/>
      <c r="BB22" s="142"/>
      <c r="BC22" s="142"/>
      <c r="BD22" s="142"/>
      <c r="BE22" s="142"/>
      <c r="BF22" s="142"/>
      <c r="BG22" s="142"/>
      <c r="BH22" s="142"/>
      <c r="BI22" s="142"/>
      <c r="BJ22" s="144"/>
      <c r="BK22" s="144"/>
      <c r="BL22" s="144"/>
      <c r="BM22" s="144"/>
      <c r="BN22" s="144"/>
      <c r="BO22" s="144"/>
      <c r="BP22" s="144"/>
    </row>
    <row r="23" spans="1:399" ht="24" customHeight="1" thickBot="1">
      <c r="A23" s="94" t="s">
        <v>198</v>
      </c>
      <c r="B23" s="106"/>
      <c r="C23" s="106"/>
      <c r="D23" s="106"/>
      <c r="E23" s="106"/>
      <c r="F23" s="106"/>
      <c r="G23" s="106"/>
      <c r="H23" s="95">
        <v>-250000</v>
      </c>
      <c r="I23" s="95"/>
      <c r="J23" s="95"/>
      <c r="K23" s="95"/>
      <c r="L23" s="95">
        <v>-100000</v>
      </c>
      <c r="M23" s="95">
        <v>-300000</v>
      </c>
      <c r="N23" s="95"/>
      <c r="O23" s="95">
        <v>-150000</v>
      </c>
      <c r="P23" s="95">
        <v>-200000</v>
      </c>
      <c r="Q23" s="95">
        <v>-390000</v>
      </c>
      <c r="R23" s="95">
        <v>-371000</v>
      </c>
      <c r="S23" s="95">
        <v>-850000</v>
      </c>
      <c r="T23" s="95">
        <v>-817000</v>
      </c>
      <c r="U23" s="95">
        <v>-890000</v>
      </c>
      <c r="V23" s="95">
        <v>-1400000</v>
      </c>
      <c r="W23" s="95"/>
      <c r="X23" s="95"/>
      <c r="Y23" s="95"/>
      <c r="Z23" s="95"/>
      <c r="AB23" s="96"/>
      <c r="AC23" s="105"/>
      <c r="AD23" s="279">
        <f t="shared" si="1"/>
        <v>-5068000</v>
      </c>
      <c r="AE23" s="279">
        <f t="shared" si="2"/>
        <v>0</v>
      </c>
      <c r="AF23" s="281">
        <f t="shared" si="3"/>
        <v>-5068000</v>
      </c>
      <c r="AG23" s="266">
        <f t="shared" si="4"/>
        <v>0</v>
      </c>
      <c r="AH23" s="108"/>
      <c r="AI23" s="149"/>
      <c r="AJ23" s="150"/>
      <c r="AK23" s="190" t="s">
        <v>199</v>
      </c>
      <c r="AL23" s="191"/>
      <c r="AM23" s="150"/>
      <c r="AN23" s="157">
        <f>SUM(AN24:AN25)</f>
        <v>0</v>
      </c>
      <c r="AO23" s="158">
        <f>SUM(AO24:AO25)</f>
        <v>0</v>
      </c>
      <c r="AP23" s="159">
        <f>SUM(AP24:AP25)</f>
        <v>-1600000</v>
      </c>
      <c r="AQ23" s="160">
        <f>SUM(AQ24:AQ25)</f>
        <v>-1600000</v>
      </c>
      <c r="AR23" s="166"/>
      <c r="AS23" s="150"/>
      <c r="AT23" s="150"/>
      <c r="AU23" s="150"/>
      <c r="AV23" s="150"/>
      <c r="AW23" s="142"/>
      <c r="AX23" s="142"/>
      <c r="AY23" s="142"/>
      <c r="AZ23" s="142"/>
      <c r="BA23" s="142"/>
      <c r="BB23" s="142"/>
      <c r="BC23" s="142"/>
      <c r="BD23" s="142"/>
      <c r="BE23" s="142"/>
      <c r="BF23" s="142"/>
      <c r="BG23" s="142"/>
      <c r="BH23" s="142"/>
      <c r="BI23" s="142"/>
      <c r="BJ23" s="144"/>
      <c r="BK23" s="144"/>
      <c r="BL23" s="144"/>
      <c r="BM23" s="144"/>
      <c r="BN23" s="144"/>
      <c r="BO23" s="144"/>
      <c r="BP23" s="144"/>
    </row>
    <row r="24" spans="1:399" ht="24" customHeight="1">
      <c r="A24" s="136" t="s">
        <v>200</v>
      </c>
      <c r="B24" s="106"/>
      <c r="C24" s="106"/>
      <c r="D24" s="106"/>
      <c r="E24" s="106"/>
      <c r="F24" s="106"/>
      <c r="G24" s="106"/>
      <c r="H24" s="95" t="s">
        <v>201</v>
      </c>
      <c r="I24" s="95"/>
      <c r="J24" s="95"/>
      <c r="K24" s="95"/>
      <c r="L24" s="95"/>
      <c r="M24" s="95">
        <v>-180000</v>
      </c>
      <c r="N24" s="95"/>
      <c r="O24" s="95">
        <v>-160000</v>
      </c>
      <c r="P24" s="95">
        <v>-150000</v>
      </c>
      <c r="Q24" s="95">
        <v>-415000</v>
      </c>
      <c r="R24" s="95">
        <v>-370000</v>
      </c>
      <c r="S24" s="95">
        <v>-195000</v>
      </c>
      <c r="T24" s="95">
        <v>-433000</v>
      </c>
      <c r="U24" s="95">
        <v>-110000</v>
      </c>
      <c r="V24" s="95">
        <v>-400000</v>
      </c>
      <c r="W24" s="95">
        <v>-175000</v>
      </c>
      <c r="X24" s="95"/>
      <c r="Y24" s="95"/>
      <c r="Z24" s="95"/>
      <c r="AA24" s="96">
        <v>-225000</v>
      </c>
      <c r="AB24" s="96"/>
      <c r="AC24" s="105"/>
      <c r="AD24" s="279">
        <f t="shared" si="1"/>
        <v>-2408000</v>
      </c>
      <c r="AE24" s="279">
        <f t="shared" si="2"/>
        <v>-225000</v>
      </c>
      <c r="AF24" s="281">
        <f t="shared" si="3"/>
        <v>-2633000</v>
      </c>
      <c r="AG24" s="266">
        <f t="shared" si="4"/>
        <v>-225000</v>
      </c>
      <c r="AH24" s="108"/>
      <c r="AI24" s="149"/>
      <c r="AJ24" s="150"/>
      <c r="AK24" s="182" t="s">
        <v>202</v>
      </c>
      <c r="AL24" s="183"/>
      <c r="AM24" s="192" t="s">
        <v>203</v>
      </c>
      <c r="AN24" s="167">
        <f>AA31</f>
        <v>0</v>
      </c>
      <c r="AO24" s="168"/>
      <c r="AP24" s="168">
        <f>AC26</f>
        <v>-1600000</v>
      </c>
      <c r="AQ24" s="170">
        <f>SUM(AN24:AP24)</f>
        <v>-1600000</v>
      </c>
      <c r="AR24" s="166"/>
      <c r="AS24" s="150"/>
      <c r="AT24" s="150"/>
      <c r="AU24" s="150"/>
      <c r="AV24" s="150"/>
      <c r="AW24" s="142"/>
      <c r="AX24" s="142"/>
      <c r="AY24" s="142"/>
      <c r="AZ24" s="142"/>
      <c r="BA24" s="142"/>
      <c r="BB24" s="142"/>
      <c r="BC24" s="142"/>
      <c r="BD24" s="142"/>
      <c r="BE24" s="142"/>
      <c r="BF24" s="142"/>
      <c r="BG24" s="142"/>
      <c r="BH24" s="142"/>
      <c r="BI24" s="142"/>
      <c r="BJ24" s="144"/>
      <c r="BK24" s="144"/>
      <c r="BL24" s="144"/>
      <c r="BM24" s="144"/>
      <c r="BN24" s="144"/>
      <c r="BO24" s="144"/>
      <c r="BP24" s="144"/>
    </row>
    <row r="25" spans="1:399" ht="24" customHeight="1" thickBot="1">
      <c r="A25" s="94" t="s">
        <v>39</v>
      </c>
      <c r="B25" s="106"/>
      <c r="C25" s="106"/>
      <c r="D25" s="106"/>
      <c r="E25" s="106"/>
      <c r="F25" s="106"/>
      <c r="G25" s="106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6">
        <v>-600000</v>
      </c>
      <c r="AB25" s="96"/>
      <c r="AC25" s="105"/>
      <c r="AD25" s="279">
        <f t="shared" si="1"/>
        <v>0</v>
      </c>
      <c r="AE25" s="279">
        <f t="shared" si="2"/>
        <v>-600000</v>
      </c>
      <c r="AF25" s="281">
        <f t="shared" si="3"/>
        <v>-600000</v>
      </c>
      <c r="AG25" s="266">
        <f t="shared" si="4"/>
        <v>-600000</v>
      </c>
      <c r="AH25" s="108"/>
      <c r="AI25" s="149"/>
      <c r="AJ25" s="150"/>
      <c r="AK25" s="188" t="s">
        <v>204</v>
      </c>
      <c r="AL25" s="189"/>
      <c r="AM25" s="150"/>
      <c r="AN25" s="172">
        <f>AA33</f>
        <v>0</v>
      </c>
      <c r="AO25" s="173"/>
      <c r="AP25" s="173"/>
      <c r="AQ25" s="175">
        <f>SUM(AN25:AP25)</f>
        <v>0</v>
      </c>
      <c r="AR25" s="166"/>
      <c r="AS25" s="150"/>
      <c r="AT25" s="150"/>
      <c r="AU25" s="150"/>
      <c r="AV25" s="150"/>
      <c r="AW25" s="142"/>
      <c r="AX25" s="142"/>
      <c r="AY25" s="142"/>
      <c r="AZ25" s="142"/>
      <c r="BA25" s="142"/>
      <c r="BB25" s="142"/>
      <c r="BC25" s="142"/>
      <c r="BD25" s="142"/>
      <c r="BE25" s="142"/>
      <c r="BF25" s="142"/>
      <c r="BG25" s="142"/>
      <c r="BH25" s="142"/>
      <c r="BI25" s="142"/>
      <c r="BJ25" s="144"/>
      <c r="BK25" s="144"/>
      <c r="BL25" s="144"/>
      <c r="BM25" s="144"/>
      <c r="BN25" s="144"/>
      <c r="BO25" s="144"/>
      <c r="BP25" s="144"/>
    </row>
    <row r="26" spans="1:399" ht="24" customHeight="1" thickBot="1">
      <c r="A26" s="137" t="s">
        <v>205</v>
      </c>
      <c r="B26" s="106"/>
      <c r="C26" s="106"/>
      <c r="D26" s="106"/>
      <c r="E26" s="95">
        <v>-3375000</v>
      </c>
      <c r="F26" s="106"/>
      <c r="G26" s="106"/>
      <c r="H26" s="111"/>
      <c r="I26" s="111"/>
      <c r="J26" s="111"/>
      <c r="K26" s="253">
        <v>-4040000</v>
      </c>
      <c r="L26" s="253"/>
      <c r="M26" s="253"/>
      <c r="N26" s="253"/>
      <c r="O26" s="253"/>
      <c r="P26" s="253"/>
      <c r="Q26" s="253"/>
      <c r="R26" s="254"/>
      <c r="S26" s="254"/>
      <c r="T26" s="254">
        <v>-2035640</v>
      </c>
      <c r="U26" s="254"/>
      <c r="V26" s="254"/>
      <c r="W26" s="254">
        <v>-2013500</v>
      </c>
      <c r="X26" s="95"/>
      <c r="Y26" s="95"/>
      <c r="Z26" s="95">
        <v>-1775963.81</v>
      </c>
      <c r="AA26" s="96"/>
      <c r="AB26" s="96"/>
      <c r="AC26" s="105">
        <v>-1600000</v>
      </c>
      <c r="AD26" s="279">
        <f t="shared" si="1"/>
        <v>-4049140</v>
      </c>
      <c r="AE26" s="279">
        <f t="shared" si="2"/>
        <v>-3375963.81</v>
      </c>
      <c r="AF26" s="281">
        <f t="shared" si="3"/>
        <v>-7425103.8100000005</v>
      </c>
      <c r="AG26" s="266">
        <f t="shared" si="4"/>
        <v>-1600000</v>
      </c>
      <c r="AH26" s="108"/>
      <c r="AI26" s="149"/>
      <c r="AJ26" s="150"/>
      <c r="AK26" s="150"/>
      <c r="AL26" s="150"/>
      <c r="AM26" s="150"/>
      <c r="AN26" s="166"/>
      <c r="AO26" s="166"/>
      <c r="AP26" s="166"/>
      <c r="AQ26" s="166"/>
      <c r="AR26" s="166"/>
      <c r="AS26" s="150"/>
      <c r="AT26" s="150"/>
      <c r="AU26" s="150"/>
      <c r="AV26" s="150"/>
      <c r="AW26" s="142"/>
      <c r="AX26" s="142"/>
      <c r="AY26" s="142"/>
      <c r="AZ26" s="142"/>
      <c r="BA26" s="142"/>
      <c r="BB26" s="142"/>
      <c r="BC26" s="142"/>
      <c r="BD26" s="142"/>
      <c r="BE26" s="142"/>
      <c r="BF26" s="142"/>
      <c r="BG26" s="142"/>
      <c r="BH26" s="142"/>
      <c r="BI26" s="142"/>
      <c r="BJ26" s="144"/>
      <c r="BK26" s="144"/>
      <c r="BL26" s="144"/>
      <c r="BM26" s="144"/>
      <c r="BN26" s="144"/>
      <c r="BO26" s="144"/>
      <c r="BP26" s="144"/>
    </row>
    <row r="27" spans="1:399" ht="24" customHeight="1" thickBot="1">
      <c r="A27" s="94" t="s">
        <v>43</v>
      </c>
      <c r="B27" s="106"/>
      <c r="C27" s="106"/>
      <c r="D27" s="106"/>
      <c r="E27" s="106"/>
      <c r="F27" s="95">
        <v>-1132500</v>
      </c>
      <c r="G27" s="95">
        <f>1132500+0.5*0.2*(H15+((H9+H11+H13)*0.2))</f>
        <v>1049908.24</v>
      </c>
      <c r="H27" s="95">
        <f t="shared" ref="H27:X27" si="5">0.5*0.2*(H15+H17+((H9+H10+H11+H13+H12)*0.2))</f>
        <v>-82591.760000000009</v>
      </c>
      <c r="I27" s="95">
        <f t="shared" si="5"/>
        <v>-56563.580000000009</v>
      </c>
      <c r="J27" s="95">
        <f t="shared" si="5"/>
        <v>-69718.880000000005</v>
      </c>
      <c r="K27" s="95">
        <f t="shared" si="5"/>
        <v>-132877.4</v>
      </c>
      <c r="L27" s="95">
        <f t="shared" si="5"/>
        <v>-107523.6</v>
      </c>
      <c r="M27" s="95">
        <f t="shared" si="5"/>
        <v>-126779.90000000001</v>
      </c>
      <c r="N27" s="95">
        <f t="shared" si="5"/>
        <v>-69200.180000000008</v>
      </c>
      <c r="O27" s="95">
        <f t="shared" si="5"/>
        <v>-101647.76000000001</v>
      </c>
      <c r="P27" s="95">
        <f t="shared" si="5"/>
        <v>-88242.040000000008</v>
      </c>
      <c r="Q27" s="95">
        <f t="shared" si="5"/>
        <v>-70816.340000000011</v>
      </c>
      <c r="R27" s="95">
        <f t="shared" si="5"/>
        <v>-89503.98000000001</v>
      </c>
      <c r="S27" s="95">
        <f t="shared" si="5"/>
        <v>-150401.74</v>
      </c>
      <c r="T27" s="95">
        <f t="shared" si="5"/>
        <v>-118335.18000000001</v>
      </c>
      <c r="U27" s="95">
        <f t="shared" si="5"/>
        <v>-35844.609400000008</v>
      </c>
      <c r="V27" s="95">
        <f t="shared" si="5"/>
        <v>-22708.489000000001</v>
      </c>
      <c r="W27" s="95">
        <f t="shared" si="5"/>
        <v>0</v>
      </c>
      <c r="X27" s="95">
        <f t="shared" si="5"/>
        <v>-13903.400000000001</v>
      </c>
      <c r="Y27" s="95">
        <f>-4430118-1339684</f>
        <v>-5769802</v>
      </c>
      <c r="Z27" s="95"/>
      <c r="AA27" s="95">
        <v>-219000</v>
      </c>
      <c r="AB27" s="95"/>
      <c r="AC27" s="257"/>
      <c r="AD27" s="279">
        <f t="shared" si="1"/>
        <v>-746700.31839999999</v>
      </c>
      <c r="AE27" s="279">
        <f t="shared" si="2"/>
        <v>-6002705.4000000004</v>
      </c>
      <c r="AF27" s="281">
        <f t="shared" si="3"/>
        <v>-6749405.7184000006</v>
      </c>
      <c r="AG27" s="266">
        <f t="shared" si="4"/>
        <v>-219000</v>
      </c>
      <c r="AI27" s="149"/>
      <c r="AJ27" s="150"/>
      <c r="AK27" s="186" t="s">
        <v>206</v>
      </c>
      <c r="AL27" s="150"/>
      <c r="AM27" s="150"/>
      <c r="AN27" s="193">
        <f>AN23+AN19+AN14+AN7</f>
        <v>-2524000</v>
      </c>
      <c r="AO27" s="194">
        <f>AO23+AO19+AO14+AO7</f>
        <v>-1480000</v>
      </c>
      <c r="AP27" s="195">
        <f>AP23+AP19+AP14+AP7</f>
        <v>-3230000</v>
      </c>
      <c r="AQ27" s="196">
        <f>AQ23+AQ19+AQ14+AQ7</f>
        <v>-7234000</v>
      </c>
      <c r="AR27" s="166">
        <f>AQ27-AG28</f>
        <v>0</v>
      </c>
      <c r="AS27" s="150"/>
      <c r="AT27" s="150"/>
      <c r="AU27" s="150"/>
      <c r="AV27" s="150"/>
      <c r="AW27" s="142"/>
      <c r="AX27" s="142"/>
      <c r="AY27" s="142"/>
      <c r="AZ27" s="142"/>
      <c r="BA27" s="142"/>
      <c r="BB27" s="142"/>
      <c r="BC27" s="142"/>
      <c r="BD27" s="142"/>
      <c r="BE27" s="142"/>
      <c r="BF27" s="142"/>
      <c r="BG27" s="142"/>
      <c r="BH27" s="142"/>
      <c r="BI27" s="142"/>
      <c r="BJ27" s="144"/>
      <c r="BK27" s="144"/>
      <c r="BL27" s="144"/>
      <c r="BM27" s="144"/>
      <c r="BN27" s="144"/>
      <c r="BO27" s="144"/>
      <c r="BP27" s="144"/>
    </row>
    <row r="28" spans="1:399" s="88" customFormat="1" ht="24" customHeight="1" thickBot="1">
      <c r="A28" s="112" t="s">
        <v>207</v>
      </c>
      <c r="B28" s="113">
        <f t="shared" ref="B28:AG28" si="6">SUM(B9:B27)</f>
        <v>-6025000</v>
      </c>
      <c r="C28" s="113">
        <f t="shared" si="6"/>
        <v>-2447500</v>
      </c>
      <c r="D28" s="113">
        <f t="shared" si="6"/>
        <v>0</v>
      </c>
      <c r="E28" s="113">
        <f t="shared" si="6"/>
        <v>-9000500</v>
      </c>
      <c r="F28" s="113">
        <f t="shared" si="6"/>
        <v>-6934026</v>
      </c>
      <c r="G28" s="113">
        <f t="shared" si="6"/>
        <v>1049908.24</v>
      </c>
      <c r="H28" s="113">
        <f t="shared" si="6"/>
        <v>-4462179.76</v>
      </c>
      <c r="I28" s="113">
        <f t="shared" si="6"/>
        <v>-3065340.58</v>
      </c>
      <c r="J28" s="113">
        <f t="shared" si="6"/>
        <v>-3904482.88</v>
      </c>
      <c r="K28" s="113">
        <f t="shared" si="6"/>
        <v>-10462862.4</v>
      </c>
      <c r="L28" s="113">
        <f t="shared" si="6"/>
        <v>-6205143.5999999996</v>
      </c>
      <c r="M28" s="113">
        <f t="shared" si="6"/>
        <v>-7710919.9000000004</v>
      </c>
      <c r="N28" s="113">
        <f t="shared" si="6"/>
        <v>-4042732.18</v>
      </c>
      <c r="O28" s="113">
        <f t="shared" si="6"/>
        <v>-5476709.7599999998</v>
      </c>
      <c r="P28" s="113">
        <f t="shared" si="6"/>
        <v>-5224594.04</v>
      </c>
      <c r="Q28" s="113">
        <f t="shared" si="6"/>
        <v>-5281256.34</v>
      </c>
      <c r="R28" s="113">
        <f t="shared" si="6"/>
        <v>-5974379.9800000004</v>
      </c>
      <c r="S28" s="113">
        <f t="shared" si="6"/>
        <v>-6451077.7400000002</v>
      </c>
      <c r="T28" s="114">
        <f t="shared" si="6"/>
        <v>-8240633.1799999997</v>
      </c>
      <c r="U28" s="114">
        <f t="shared" si="6"/>
        <v>-3026884.4594000001</v>
      </c>
      <c r="V28" s="114">
        <f t="shared" si="6"/>
        <v>-3059251.179</v>
      </c>
      <c r="W28" s="114">
        <f t="shared" si="6"/>
        <v>-3292877</v>
      </c>
      <c r="X28" s="114">
        <f t="shared" si="6"/>
        <v>-922403.4</v>
      </c>
      <c r="Y28" s="114">
        <f t="shared" si="6"/>
        <v>-6063952</v>
      </c>
      <c r="Z28" s="114">
        <f t="shared" si="6"/>
        <v>-3024047.48</v>
      </c>
      <c r="AA28" s="114">
        <f t="shared" si="6"/>
        <v>-2524000</v>
      </c>
      <c r="AB28" s="114">
        <f t="shared" si="6"/>
        <v>-1480000</v>
      </c>
      <c r="AC28" s="258">
        <f t="shared" si="6"/>
        <v>-3230000</v>
      </c>
      <c r="AD28" s="288">
        <f t="shared" si="6"/>
        <v>-50070395.858400002</v>
      </c>
      <c r="AE28" s="289">
        <f t="shared" si="6"/>
        <v>-17244402.880000003</v>
      </c>
      <c r="AF28" s="290">
        <f t="shared" si="6"/>
        <v>-67314798.738399997</v>
      </c>
      <c r="AG28" s="267">
        <f t="shared" si="6"/>
        <v>-7234000</v>
      </c>
      <c r="AH28" s="93"/>
      <c r="AI28" s="149"/>
      <c r="AJ28" s="150"/>
      <c r="AK28" s="150"/>
      <c r="AL28" s="150"/>
      <c r="AM28" s="150"/>
      <c r="AN28" s="166"/>
      <c r="AO28" s="166"/>
      <c r="AP28" s="166"/>
      <c r="AQ28" s="166"/>
      <c r="AR28" s="166"/>
      <c r="AS28" s="150"/>
      <c r="AT28" s="150"/>
      <c r="AU28" s="150"/>
      <c r="AV28" s="150"/>
      <c r="AW28" s="142"/>
      <c r="AX28" s="142"/>
      <c r="AY28" s="142"/>
      <c r="AZ28" s="142"/>
      <c r="BA28" s="142"/>
      <c r="BB28" s="142"/>
      <c r="BC28" s="142"/>
      <c r="BD28" s="142"/>
      <c r="BE28" s="142"/>
      <c r="BF28" s="142"/>
      <c r="BG28" s="142"/>
      <c r="BH28" s="142"/>
      <c r="BI28" s="142"/>
      <c r="BJ28" s="143"/>
      <c r="BK28" s="143"/>
      <c r="BL28" s="143"/>
      <c r="BM28" s="143"/>
      <c r="BN28" s="143"/>
      <c r="BO28" s="143"/>
      <c r="BP28" s="14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  <c r="CI28" s="93"/>
      <c r="CJ28" s="93"/>
      <c r="CK28" s="93"/>
      <c r="CL28" s="93"/>
      <c r="CM28" s="93"/>
      <c r="CN28" s="93"/>
      <c r="CO28" s="93"/>
      <c r="CP28" s="93"/>
      <c r="CQ28" s="93"/>
      <c r="CR28" s="93"/>
      <c r="CS28" s="93"/>
      <c r="CT28" s="93"/>
      <c r="CU28" s="93"/>
      <c r="CV28" s="93"/>
      <c r="CW28" s="93"/>
      <c r="CX28" s="93"/>
      <c r="CY28" s="93"/>
      <c r="CZ28" s="93"/>
      <c r="DA28" s="93"/>
      <c r="DB28" s="93"/>
      <c r="DC28" s="93"/>
      <c r="DD28" s="93"/>
      <c r="DE28" s="93"/>
      <c r="DF28" s="93"/>
      <c r="DG28" s="93"/>
      <c r="DH28" s="93"/>
      <c r="DI28" s="93"/>
      <c r="DJ28" s="93"/>
      <c r="DK28" s="93"/>
      <c r="DL28" s="93"/>
      <c r="DM28" s="93"/>
      <c r="DN28" s="93"/>
      <c r="DO28" s="93"/>
      <c r="DP28" s="93"/>
      <c r="DQ28" s="93"/>
      <c r="DR28" s="93"/>
      <c r="DS28" s="93"/>
      <c r="DT28" s="93"/>
      <c r="DU28" s="93"/>
      <c r="DV28" s="93"/>
      <c r="DW28" s="93"/>
      <c r="DX28" s="93"/>
      <c r="DY28" s="93"/>
      <c r="DZ28" s="93"/>
      <c r="EA28" s="93"/>
      <c r="EB28" s="93"/>
      <c r="EC28" s="93"/>
      <c r="ED28" s="93"/>
      <c r="EE28" s="93"/>
      <c r="EF28" s="93"/>
      <c r="EG28" s="93"/>
      <c r="EH28" s="93"/>
      <c r="EI28" s="93"/>
      <c r="EJ28" s="93"/>
      <c r="EK28" s="93"/>
      <c r="EL28" s="93"/>
      <c r="EM28" s="93"/>
      <c r="EN28" s="93"/>
      <c r="EO28" s="93"/>
      <c r="EP28" s="93"/>
      <c r="EQ28" s="93"/>
      <c r="ER28" s="93"/>
      <c r="ES28" s="93"/>
      <c r="ET28" s="93"/>
      <c r="EU28" s="93"/>
      <c r="EV28" s="93"/>
      <c r="EW28" s="93"/>
      <c r="EX28" s="93"/>
      <c r="EY28" s="93"/>
      <c r="EZ28" s="93"/>
      <c r="FA28" s="93"/>
      <c r="FB28" s="93"/>
      <c r="FC28" s="93"/>
      <c r="FD28" s="93"/>
      <c r="FE28" s="93"/>
      <c r="FF28" s="93"/>
      <c r="FG28" s="93"/>
      <c r="FH28" s="93"/>
      <c r="FI28" s="93"/>
      <c r="FJ28" s="93"/>
      <c r="FK28" s="93"/>
      <c r="FL28" s="93"/>
      <c r="FM28" s="93"/>
      <c r="FN28" s="93"/>
      <c r="FO28" s="93"/>
      <c r="FP28" s="93"/>
      <c r="FQ28" s="93"/>
      <c r="FR28" s="93"/>
      <c r="FS28" s="93"/>
      <c r="FT28" s="93"/>
      <c r="FU28" s="93"/>
      <c r="FV28" s="93"/>
      <c r="FW28" s="93"/>
      <c r="FX28" s="93"/>
      <c r="FY28" s="93"/>
      <c r="FZ28" s="93"/>
      <c r="GA28" s="93"/>
      <c r="GB28" s="93"/>
      <c r="GC28" s="93"/>
      <c r="GD28" s="93"/>
      <c r="GE28" s="93"/>
      <c r="GF28" s="93"/>
      <c r="GG28" s="93"/>
      <c r="GH28" s="93"/>
      <c r="GI28" s="93"/>
      <c r="GJ28" s="93"/>
      <c r="GK28" s="93"/>
      <c r="GL28" s="93"/>
      <c r="GM28" s="93"/>
      <c r="GN28" s="93"/>
      <c r="GO28" s="93"/>
      <c r="GP28" s="93"/>
      <c r="GQ28" s="93"/>
      <c r="GR28" s="93"/>
      <c r="GS28" s="93"/>
      <c r="GT28" s="93"/>
      <c r="GU28" s="93"/>
      <c r="GV28" s="93"/>
      <c r="GW28" s="93"/>
      <c r="GX28" s="93"/>
      <c r="GY28" s="93"/>
      <c r="GZ28" s="93"/>
      <c r="HA28" s="93"/>
      <c r="HB28" s="93"/>
      <c r="HC28" s="93"/>
      <c r="HD28" s="93"/>
      <c r="HE28" s="93"/>
      <c r="HF28" s="93"/>
      <c r="HG28" s="93"/>
      <c r="HH28" s="93"/>
      <c r="HI28" s="93"/>
      <c r="HJ28" s="93"/>
      <c r="HK28" s="93"/>
      <c r="HL28" s="93"/>
      <c r="HM28" s="93"/>
      <c r="HN28" s="93"/>
      <c r="HO28" s="93"/>
      <c r="HP28" s="93"/>
      <c r="HQ28" s="93"/>
      <c r="HR28" s="93"/>
      <c r="HS28" s="93"/>
      <c r="HT28" s="93"/>
      <c r="HU28" s="93"/>
      <c r="HV28" s="93"/>
      <c r="HW28" s="93"/>
      <c r="HX28" s="93"/>
      <c r="HY28" s="93"/>
      <c r="HZ28" s="93"/>
      <c r="IA28" s="93"/>
      <c r="IB28" s="93"/>
      <c r="IC28" s="93"/>
      <c r="ID28" s="93"/>
      <c r="IE28" s="93"/>
      <c r="IF28" s="93"/>
      <c r="IG28" s="93"/>
      <c r="IH28" s="93"/>
      <c r="II28" s="93"/>
      <c r="IJ28" s="93"/>
      <c r="IK28" s="93"/>
      <c r="IL28" s="93"/>
      <c r="IM28" s="93"/>
      <c r="IN28" s="93"/>
      <c r="IO28" s="93"/>
      <c r="IP28" s="93"/>
      <c r="IQ28" s="93"/>
      <c r="IR28" s="93"/>
      <c r="IS28" s="93"/>
      <c r="IT28" s="93"/>
      <c r="IU28" s="93"/>
      <c r="IV28" s="93"/>
      <c r="IW28" s="93"/>
      <c r="IX28" s="93"/>
      <c r="IY28" s="93"/>
      <c r="IZ28" s="93"/>
      <c r="JA28" s="93"/>
      <c r="JB28" s="93"/>
      <c r="JC28" s="93"/>
      <c r="JD28" s="93"/>
      <c r="JE28" s="93"/>
      <c r="JF28" s="93"/>
      <c r="JG28" s="93"/>
      <c r="JH28" s="93"/>
      <c r="JI28" s="93"/>
      <c r="JJ28" s="93"/>
      <c r="JK28" s="93"/>
      <c r="JL28" s="93"/>
      <c r="JM28" s="93"/>
      <c r="JN28" s="93"/>
      <c r="JO28" s="93"/>
      <c r="JP28" s="93"/>
      <c r="JQ28" s="93"/>
      <c r="JR28" s="93"/>
      <c r="JS28" s="93"/>
      <c r="JT28" s="93"/>
      <c r="JU28" s="93"/>
      <c r="JV28" s="93"/>
      <c r="JW28" s="93"/>
      <c r="JX28" s="93"/>
      <c r="JY28" s="93"/>
      <c r="JZ28" s="93"/>
      <c r="KA28" s="93"/>
      <c r="KB28" s="93"/>
      <c r="KC28" s="93"/>
      <c r="KD28" s="93"/>
      <c r="KE28" s="93"/>
      <c r="KF28" s="93"/>
      <c r="KG28" s="93"/>
      <c r="KH28" s="93"/>
      <c r="KI28" s="93"/>
      <c r="KJ28" s="93"/>
      <c r="KK28" s="93"/>
      <c r="KL28" s="93"/>
      <c r="KM28" s="93"/>
      <c r="KN28" s="93"/>
      <c r="KO28" s="93"/>
      <c r="KP28" s="93"/>
      <c r="KQ28" s="93"/>
      <c r="KR28" s="93"/>
      <c r="KS28" s="93"/>
      <c r="KT28" s="93"/>
      <c r="KU28" s="93"/>
      <c r="KV28" s="93"/>
      <c r="KW28" s="93"/>
      <c r="KX28" s="93"/>
      <c r="KY28" s="93"/>
      <c r="KZ28" s="93"/>
      <c r="LA28" s="93"/>
      <c r="LB28" s="93"/>
      <c r="LC28" s="93"/>
      <c r="LD28" s="93"/>
      <c r="LE28" s="93"/>
      <c r="LF28" s="93"/>
      <c r="LG28" s="93"/>
      <c r="LH28" s="93"/>
      <c r="LI28" s="93"/>
      <c r="LJ28" s="93"/>
      <c r="LK28" s="93"/>
      <c r="LL28" s="93"/>
      <c r="LM28" s="93"/>
      <c r="LN28" s="93"/>
      <c r="LO28" s="93"/>
      <c r="LP28" s="93"/>
      <c r="LQ28" s="93"/>
      <c r="LR28" s="93"/>
      <c r="LS28" s="93"/>
      <c r="LT28" s="93"/>
      <c r="LU28" s="93"/>
      <c r="LV28" s="93"/>
      <c r="LW28" s="93"/>
      <c r="LX28" s="93"/>
      <c r="LY28" s="93"/>
      <c r="LZ28" s="93"/>
      <c r="MA28" s="93"/>
      <c r="MB28" s="93"/>
      <c r="MC28" s="93"/>
      <c r="MD28" s="93"/>
      <c r="ME28" s="93"/>
      <c r="MF28" s="93"/>
      <c r="MG28" s="93"/>
      <c r="MH28" s="93"/>
      <c r="MI28" s="93"/>
      <c r="MJ28" s="93"/>
      <c r="MK28" s="93"/>
      <c r="ML28" s="93"/>
      <c r="MM28" s="93"/>
      <c r="MN28" s="93"/>
      <c r="MO28" s="93"/>
      <c r="MP28" s="93"/>
      <c r="MQ28" s="93"/>
      <c r="MR28" s="93"/>
      <c r="MS28" s="93"/>
      <c r="MT28" s="93"/>
      <c r="MU28" s="93"/>
      <c r="MV28" s="93"/>
      <c r="MW28" s="93"/>
      <c r="MX28" s="93"/>
      <c r="MY28" s="93"/>
      <c r="MZ28" s="93"/>
      <c r="NA28" s="93"/>
      <c r="NB28" s="93"/>
      <c r="NC28" s="93"/>
      <c r="ND28" s="93"/>
      <c r="NE28" s="93"/>
      <c r="NF28" s="93"/>
      <c r="NG28" s="93"/>
      <c r="NH28" s="93"/>
      <c r="NI28" s="93"/>
      <c r="NJ28" s="93"/>
      <c r="NK28" s="93"/>
      <c r="NL28" s="93"/>
      <c r="NM28" s="93"/>
      <c r="NN28" s="93"/>
      <c r="NO28" s="93"/>
      <c r="NP28" s="93"/>
      <c r="NQ28" s="93"/>
      <c r="NR28" s="93"/>
      <c r="NS28" s="93"/>
      <c r="NT28" s="93"/>
      <c r="NU28" s="93"/>
      <c r="NV28" s="93"/>
      <c r="NW28" s="93"/>
      <c r="NX28" s="93"/>
      <c r="NY28" s="93"/>
      <c r="NZ28" s="93"/>
      <c r="OA28" s="93"/>
      <c r="OB28" s="93"/>
      <c r="OC28" s="93"/>
      <c r="OD28" s="93"/>
      <c r="OE28" s="93"/>
      <c r="OF28" s="93"/>
      <c r="OG28" s="93"/>
      <c r="OH28" s="93"/>
      <c r="OI28" s="93"/>
    </row>
    <row r="29" spans="1:399" ht="24" customHeight="1" thickBot="1">
      <c r="A29" s="115"/>
      <c r="B29" s="116"/>
      <c r="C29" s="116"/>
      <c r="D29" s="116"/>
      <c r="E29" s="116"/>
      <c r="F29" s="116"/>
      <c r="G29" s="116"/>
      <c r="H29" s="117"/>
      <c r="I29" s="117"/>
      <c r="J29" s="117"/>
      <c r="K29" s="118"/>
      <c r="L29" s="118"/>
      <c r="M29" s="118"/>
      <c r="N29" s="118"/>
      <c r="O29" s="118"/>
      <c r="P29" s="118"/>
      <c r="Q29" s="118"/>
      <c r="R29" s="118"/>
      <c r="S29" s="118"/>
      <c r="AD29" s="291"/>
      <c r="AE29" s="292"/>
      <c r="AF29" s="293"/>
      <c r="AG29" s="268"/>
      <c r="AI29" s="199" t="s">
        <v>208</v>
      </c>
      <c r="AJ29" s="150"/>
      <c r="AK29" s="150"/>
      <c r="AL29" s="150"/>
      <c r="AM29" s="150"/>
      <c r="AN29" s="166"/>
      <c r="AO29" s="166"/>
      <c r="AP29" s="166"/>
      <c r="AQ29" s="166"/>
      <c r="AR29" s="166"/>
      <c r="AS29" s="150"/>
      <c r="AT29" s="150"/>
      <c r="AU29" s="150"/>
      <c r="AV29" s="150"/>
      <c r="AW29" s="142"/>
      <c r="AX29" s="142"/>
      <c r="AY29" s="142"/>
      <c r="AZ29" s="142"/>
      <c r="BA29" s="142"/>
      <c r="BB29" s="142"/>
      <c r="BC29" s="142"/>
      <c r="BD29" s="142"/>
      <c r="BE29" s="142"/>
      <c r="BF29" s="142"/>
      <c r="BG29" s="142"/>
      <c r="BH29" s="142"/>
      <c r="BI29" s="142"/>
      <c r="BJ29" s="144"/>
      <c r="BK29" s="144"/>
      <c r="BL29" s="144"/>
      <c r="BM29" s="144"/>
      <c r="BN29" s="144"/>
      <c r="BO29" s="144"/>
      <c r="BP29" s="144"/>
    </row>
    <row r="30" spans="1:399" s="88" customFormat="1" ht="24" customHeight="1">
      <c r="A30" s="101" t="s">
        <v>45</v>
      </c>
      <c r="B30" s="102"/>
      <c r="C30" s="102"/>
      <c r="D30" s="102"/>
      <c r="E30" s="102"/>
      <c r="F30" s="102"/>
      <c r="G30" s="102"/>
      <c r="H30" s="103"/>
      <c r="I30" s="103"/>
      <c r="J30" s="103"/>
      <c r="K30" s="103"/>
      <c r="L30" s="103"/>
      <c r="M30" s="103"/>
      <c r="N30" s="103"/>
      <c r="O30" s="103"/>
      <c r="P30" s="103"/>
      <c r="Q30" s="103"/>
      <c r="R30" s="103"/>
      <c r="S30" s="103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276"/>
      <c r="AE30" s="286"/>
      <c r="AF30" s="287"/>
      <c r="AG30" s="265"/>
      <c r="AH30" s="93"/>
      <c r="AI30" s="200" t="s">
        <v>193</v>
      </c>
      <c r="AJ30" s="150"/>
      <c r="AK30" s="150" t="s">
        <v>209</v>
      </c>
      <c r="AL30" s="150"/>
      <c r="AM30" s="150"/>
      <c r="AN30" s="166"/>
      <c r="AO30" s="166"/>
      <c r="AP30" s="166"/>
      <c r="AQ30" s="166"/>
      <c r="AR30" s="166"/>
      <c r="AS30" s="150"/>
      <c r="AT30" s="150"/>
      <c r="AU30" s="150"/>
      <c r="AV30" s="150"/>
      <c r="AW30" s="142"/>
      <c r="AX30" s="142"/>
      <c r="AY30" s="142"/>
      <c r="AZ30" s="142"/>
      <c r="BA30" s="142"/>
      <c r="BB30" s="142"/>
      <c r="BC30" s="142"/>
      <c r="BD30" s="142"/>
      <c r="BE30" s="142"/>
      <c r="BF30" s="142"/>
      <c r="BG30" s="142"/>
      <c r="BH30" s="142"/>
      <c r="BI30" s="142"/>
      <c r="BJ30" s="143"/>
      <c r="BK30" s="143"/>
      <c r="BL30" s="143"/>
      <c r="BM30" s="143"/>
      <c r="BN30" s="143"/>
      <c r="BO30" s="143"/>
      <c r="BP30" s="143"/>
      <c r="BQ30" s="93"/>
      <c r="BR30" s="93"/>
      <c r="BS30" s="93"/>
      <c r="BT30" s="93"/>
      <c r="BU30" s="93"/>
      <c r="BV30" s="93"/>
      <c r="BW30" s="93"/>
      <c r="BX30" s="93"/>
      <c r="BY30" s="93"/>
      <c r="BZ30" s="93"/>
      <c r="CA30" s="93"/>
      <c r="CB30" s="93"/>
      <c r="CC30" s="93"/>
      <c r="CD30" s="93"/>
      <c r="CE30" s="93"/>
      <c r="CF30" s="93"/>
      <c r="CG30" s="93"/>
      <c r="CH30" s="93"/>
      <c r="CI30" s="93"/>
      <c r="CJ30" s="93"/>
      <c r="CK30" s="93"/>
      <c r="CL30" s="93"/>
      <c r="CM30" s="93"/>
      <c r="CN30" s="93"/>
      <c r="CO30" s="93"/>
      <c r="CP30" s="93"/>
      <c r="CQ30" s="93"/>
      <c r="CR30" s="93"/>
      <c r="CS30" s="93"/>
      <c r="CT30" s="93"/>
      <c r="CU30" s="93"/>
      <c r="CV30" s="93"/>
      <c r="CW30" s="93"/>
      <c r="CX30" s="93"/>
      <c r="CY30" s="93"/>
      <c r="CZ30" s="93"/>
      <c r="DA30" s="93"/>
      <c r="DB30" s="93"/>
      <c r="DC30" s="93"/>
      <c r="DD30" s="93"/>
      <c r="DE30" s="93"/>
      <c r="DF30" s="93"/>
      <c r="DG30" s="93"/>
      <c r="DH30" s="93"/>
      <c r="DI30" s="93"/>
      <c r="DJ30" s="93"/>
      <c r="DK30" s="93"/>
      <c r="DL30" s="93"/>
      <c r="DM30" s="93"/>
      <c r="DN30" s="93"/>
      <c r="DO30" s="93"/>
      <c r="DP30" s="93"/>
      <c r="DQ30" s="93"/>
      <c r="DR30" s="93"/>
      <c r="DS30" s="93"/>
      <c r="DT30" s="93"/>
      <c r="DU30" s="93"/>
      <c r="DV30" s="93"/>
      <c r="DW30" s="93"/>
      <c r="DX30" s="93"/>
      <c r="DY30" s="93"/>
      <c r="DZ30" s="93"/>
      <c r="EA30" s="93"/>
      <c r="EB30" s="93"/>
      <c r="EC30" s="93"/>
      <c r="ED30" s="93"/>
      <c r="EE30" s="93"/>
      <c r="EF30" s="93"/>
      <c r="EG30" s="93"/>
      <c r="EH30" s="93"/>
      <c r="EI30" s="93"/>
      <c r="EJ30" s="93"/>
      <c r="EK30" s="93"/>
      <c r="EL30" s="93"/>
      <c r="EM30" s="93"/>
      <c r="EN30" s="93"/>
      <c r="EO30" s="93"/>
      <c r="EP30" s="93"/>
      <c r="EQ30" s="93"/>
      <c r="ER30" s="93"/>
      <c r="ES30" s="93"/>
      <c r="ET30" s="93"/>
      <c r="EU30" s="93"/>
      <c r="EV30" s="93"/>
      <c r="EW30" s="93"/>
      <c r="EX30" s="93"/>
      <c r="EY30" s="93"/>
      <c r="EZ30" s="93"/>
      <c r="FA30" s="93"/>
      <c r="FB30" s="93"/>
      <c r="FC30" s="93"/>
      <c r="FD30" s="93"/>
      <c r="FE30" s="93"/>
      <c r="FF30" s="93"/>
      <c r="FG30" s="93"/>
      <c r="FH30" s="93"/>
      <c r="FI30" s="93"/>
      <c r="FJ30" s="93"/>
      <c r="FK30" s="93"/>
      <c r="FL30" s="93"/>
      <c r="FM30" s="93"/>
      <c r="FN30" s="93"/>
      <c r="FO30" s="93"/>
      <c r="FP30" s="93"/>
      <c r="FQ30" s="93"/>
      <c r="FR30" s="93"/>
      <c r="FS30" s="93"/>
      <c r="FT30" s="93"/>
      <c r="FU30" s="93"/>
      <c r="FV30" s="93"/>
      <c r="FW30" s="93"/>
      <c r="FX30" s="93"/>
      <c r="FY30" s="93"/>
      <c r="FZ30" s="93"/>
      <c r="GA30" s="93"/>
      <c r="GB30" s="93"/>
      <c r="GC30" s="93"/>
      <c r="GD30" s="93"/>
      <c r="GE30" s="93"/>
      <c r="GF30" s="93"/>
      <c r="GG30" s="93"/>
      <c r="GH30" s="93"/>
      <c r="GI30" s="93"/>
      <c r="GJ30" s="93"/>
      <c r="GK30" s="93"/>
      <c r="GL30" s="93"/>
      <c r="GM30" s="93"/>
      <c r="GN30" s="93"/>
      <c r="GO30" s="93"/>
      <c r="GP30" s="93"/>
      <c r="GQ30" s="93"/>
      <c r="GR30" s="93"/>
      <c r="GS30" s="93"/>
      <c r="GT30" s="93"/>
      <c r="GU30" s="93"/>
      <c r="GV30" s="93"/>
      <c r="GW30" s="93"/>
      <c r="GX30" s="93"/>
      <c r="GY30" s="93"/>
      <c r="GZ30" s="93"/>
      <c r="HA30" s="93"/>
      <c r="HB30" s="93"/>
      <c r="HC30" s="93"/>
      <c r="HD30" s="93"/>
      <c r="HE30" s="93"/>
      <c r="HF30" s="93"/>
      <c r="HG30" s="93"/>
      <c r="HH30" s="93"/>
      <c r="HI30" s="93"/>
      <c r="HJ30" s="93"/>
      <c r="HK30" s="93"/>
      <c r="HL30" s="93"/>
      <c r="HM30" s="93"/>
      <c r="HN30" s="93"/>
      <c r="HO30" s="93"/>
      <c r="HP30" s="93"/>
      <c r="HQ30" s="93"/>
      <c r="HR30" s="93"/>
      <c r="HS30" s="93"/>
      <c r="HT30" s="93"/>
      <c r="HU30" s="93"/>
      <c r="HV30" s="93"/>
      <c r="HW30" s="93"/>
      <c r="HX30" s="93"/>
      <c r="HY30" s="93"/>
      <c r="HZ30" s="93"/>
      <c r="IA30" s="93"/>
      <c r="IB30" s="93"/>
      <c r="IC30" s="93"/>
      <c r="ID30" s="93"/>
      <c r="IE30" s="93"/>
      <c r="IF30" s="93"/>
      <c r="IG30" s="93"/>
      <c r="IH30" s="93"/>
      <c r="II30" s="93"/>
      <c r="IJ30" s="93"/>
      <c r="IK30" s="93"/>
      <c r="IL30" s="93"/>
      <c r="IM30" s="93"/>
      <c r="IN30" s="93"/>
      <c r="IO30" s="93"/>
      <c r="IP30" s="93"/>
      <c r="IQ30" s="93"/>
      <c r="IR30" s="93"/>
      <c r="IS30" s="93"/>
      <c r="IT30" s="93"/>
      <c r="IU30" s="93"/>
      <c r="IV30" s="93"/>
      <c r="IW30" s="93"/>
      <c r="IX30" s="93"/>
      <c r="IY30" s="93"/>
      <c r="IZ30" s="93"/>
      <c r="JA30" s="93"/>
      <c r="JB30" s="93"/>
      <c r="JC30" s="93"/>
      <c r="JD30" s="93"/>
      <c r="JE30" s="93"/>
      <c r="JF30" s="93"/>
      <c r="JG30" s="93"/>
      <c r="JH30" s="93"/>
      <c r="JI30" s="93"/>
      <c r="JJ30" s="93"/>
      <c r="JK30" s="93"/>
      <c r="JL30" s="93"/>
      <c r="JM30" s="93"/>
      <c r="JN30" s="93"/>
      <c r="JO30" s="93"/>
      <c r="JP30" s="93"/>
      <c r="JQ30" s="93"/>
      <c r="JR30" s="93"/>
      <c r="JS30" s="93"/>
      <c r="JT30" s="93"/>
      <c r="JU30" s="93"/>
      <c r="JV30" s="93"/>
      <c r="JW30" s="93"/>
      <c r="JX30" s="93"/>
      <c r="JY30" s="93"/>
      <c r="JZ30" s="93"/>
      <c r="KA30" s="93"/>
      <c r="KB30" s="93"/>
      <c r="KC30" s="93"/>
      <c r="KD30" s="93"/>
      <c r="KE30" s="93"/>
      <c r="KF30" s="93"/>
      <c r="KG30" s="93"/>
      <c r="KH30" s="93"/>
      <c r="KI30" s="93"/>
      <c r="KJ30" s="93"/>
      <c r="KK30" s="93"/>
      <c r="KL30" s="93"/>
      <c r="KM30" s="93"/>
      <c r="KN30" s="93"/>
      <c r="KO30" s="93"/>
      <c r="KP30" s="93"/>
      <c r="KQ30" s="93"/>
      <c r="KR30" s="93"/>
      <c r="KS30" s="93"/>
      <c r="KT30" s="93"/>
      <c r="KU30" s="93"/>
      <c r="KV30" s="93"/>
      <c r="KW30" s="93"/>
      <c r="KX30" s="93"/>
      <c r="KY30" s="93"/>
      <c r="KZ30" s="93"/>
      <c r="LA30" s="93"/>
      <c r="LB30" s="93"/>
      <c r="LC30" s="93"/>
      <c r="LD30" s="93"/>
      <c r="LE30" s="93"/>
      <c r="LF30" s="93"/>
      <c r="LG30" s="93"/>
      <c r="LH30" s="93"/>
      <c r="LI30" s="93"/>
      <c r="LJ30" s="93"/>
      <c r="LK30" s="93"/>
      <c r="LL30" s="93"/>
      <c r="LM30" s="93"/>
      <c r="LN30" s="93"/>
      <c r="LO30" s="93"/>
      <c r="LP30" s="93"/>
      <c r="LQ30" s="93"/>
      <c r="LR30" s="93"/>
      <c r="LS30" s="93"/>
      <c r="LT30" s="93"/>
      <c r="LU30" s="93"/>
      <c r="LV30" s="93"/>
      <c r="LW30" s="93"/>
      <c r="LX30" s="93"/>
      <c r="LY30" s="93"/>
      <c r="LZ30" s="93"/>
      <c r="MA30" s="93"/>
      <c r="MB30" s="93"/>
      <c r="MC30" s="93"/>
      <c r="MD30" s="93"/>
      <c r="ME30" s="93"/>
      <c r="MF30" s="93"/>
      <c r="MG30" s="93"/>
      <c r="MH30" s="93"/>
      <c r="MI30" s="93"/>
      <c r="MJ30" s="93"/>
      <c r="MK30" s="93"/>
      <c r="ML30" s="93"/>
      <c r="MM30" s="93"/>
      <c r="MN30" s="93"/>
      <c r="MO30" s="93"/>
      <c r="MP30" s="93"/>
      <c r="MQ30" s="93"/>
      <c r="MR30" s="93"/>
      <c r="MS30" s="93"/>
      <c r="MT30" s="93"/>
      <c r="MU30" s="93"/>
      <c r="MV30" s="93"/>
      <c r="MW30" s="93"/>
      <c r="MX30" s="93"/>
      <c r="MY30" s="93"/>
      <c r="MZ30" s="93"/>
      <c r="NA30" s="93"/>
      <c r="NB30" s="93"/>
      <c r="NC30" s="93"/>
      <c r="ND30" s="93"/>
      <c r="NE30" s="93"/>
      <c r="NF30" s="93"/>
      <c r="NG30" s="93"/>
      <c r="NH30" s="93"/>
      <c r="NI30" s="93"/>
      <c r="NJ30" s="93"/>
      <c r="NK30" s="93"/>
      <c r="NL30" s="93"/>
      <c r="NM30" s="93"/>
      <c r="NN30" s="93"/>
      <c r="NO30" s="93"/>
      <c r="NP30" s="93"/>
      <c r="NQ30" s="93"/>
      <c r="NR30" s="93"/>
      <c r="NS30" s="93"/>
      <c r="NT30" s="93"/>
      <c r="NU30" s="93"/>
      <c r="NV30" s="93"/>
      <c r="NW30" s="93"/>
      <c r="NX30" s="93"/>
      <c r="NY30" s="93"/>
      <c r="NZ30" s="93"/>
      <c r="OA30" s="93"/>
      <c r="OB30" s="93"/>
      <c r="OC30" s="93"/>
      <c r="OD30" s="93"/>
      <c r="OE30" s="93"/>
      <c r="OF30" s="93"/>
      <c r="OG30" s="93"/>
      <c r="OH30" s="93"/>
      <c r="OI30" s="93"/>
    </row>
    <row r="31" spans="1:399" ht="24" customHeight="1">
      <c r="A31" s="137" t="s">
        <v>210</v>
      </c>
      <c r="B31" s="119"/>
      <c r="C31" s="119"/>
      <c r="D31" s="119">
        <v>3800000</v>
      </c>
      <c r="E31" s="119"/>
      <c r="F31" s="119"/>
      <c r="G31" s="119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>
        <v>6000000</v>
      </c>
      <c r="S31" s="95"/>
      <c r="T31" s="95"/>
      <c r="U31" s="95"/>
      <c r="V31" s="95"/>
      <c r="W31" s="95">
        <v>3120000</v>
      </c>
      <c r="X31" s="95"/>
      <c r="Y31" s="95">
        <v>4430118</v>
      </c>
      <c r="Z31" s="95"/>
      <c r="AA31" s="100"/>
      <c r="AB31" s="100"/>
      <c r="AC31" s="100"/>
      <c r="AD31" s="279">
        <f>SUM(N31:W31)</f>
        <v>9120000</v>
      </c>
      <c r="AE31" s="279">
        <f>SUM(X31:AC31)</f>
        <v>4430118</v>
      </c>
      <c r="AF31" s="284"/>
      <c r="AG31" s="269">
        <f>SUM(AA31:AC31)</f>
        <v>0</v>
      </c>
      <c r="AI31" s="200" t="s">
        <v>211</v>
      </c>
      <c r="AJ31" s="150"/>
      <c r="AK31" s="150" t="s">
        <v>212</v>
      </c>
      <c r="AL31" s="150"/>
      <c r="AM31" s="166">
        <v>1753800</v>
      </c>
      <c r="AN31" s="166"/>
      <c r="AO31" s="166"/>
      <c r="AP31" s="166"/>
      <c r="AQ31" s="166"/>
      <c r="AR31" s="166"/>
      <c r="AS31" s="150"/>
      <c r="AT31" s="150"/>
      <c r="AU31" s="150"/>
      <c r="AV31" s="150"/>
      <c r="AW31" s="142"/>
      <c r="AX31" s="142"/>
      <c r="AY31" s="142"/>
      <c r="AZ31" s="142"/>
      <c r="BA31" s="142"/>
      <c r="BB31" s="142"/>
      <c r="BC31" s="142"/>
      <c r="BD31" s="142"/>
      <c r="BE31" s="142"/>
      <c r="BF31" s="142"/>
      <c r="BG31" s="142"/>
      <c r="BH31" s="142"/>
      <c r="BI31" s="142"/>
      <c r="BJ31" s="144"/>
      <c r="BK31" s="144"/>
      <c r="BL31" s="144"/>
      <c r="BM31" s="144"/>
      <c r="BN31" s="144"/>
      <c r="BO31" s="144"/>
      <c r="BP31" s="144"/>
    </row>
    <row r="32" spans="1:399" ht="24" customHeight="1">
      <c r="A32" s="137" t="s">
        <v>213</v>
      </c>
      <c r="B32" s="119"/>
      <c r="C32" s="119"/>
      <c r="D32" s="119"/>
      <c r="E32" s="119"/>
      <c r="F32" s="119"/>
      <c r="G32" s="119"/>
      <c r="H32" s="95">
        <v>110000</v>
      </c>
      <c r="I32" s="95">
        <v>50000</v>
      </c>
      <c r="J32" s="95">
        <v>66000</v>
      </c>
      <c r="K32" s="95"/>
      <c r="L32" s="95"/>
      <c r="M32" s="95"/>
      <c r="N32" s="95">
        <v>48546</v>
      </c>
      <c r="O32" s="95"/>
      <c r="P32" s="95"/>
      <c r="Q32" s="95"/>
      <c r="R32" s="95"/>
      <c r="S32" s="95">
        <v>276200</v>
      </c>
      <c r="T32" s="95"/>
      <c r="U32" s="95"/>
      <c r="V32" s="95"/>
      <c r="W32" s="95">
        <f>1491944+283800-41400+22631+11720</f>
        <v>1768695</v>
      </c>
      <c r="X32" s="95">
        <v>132000</v>
      </c>
      <c r="Y32" s="95"/>
      <c r="Z32" s="95">
        <v>482566</v>
      </c>
      <c r="AA32" s="96"/>
      <c r="AB32" s="96">
        <v>100000</v>
      </c>
      <c r="AC32" s="255"/>
      <c r="AD32" s="279">
        <f>SUM(N32:W32)</f>
        <v>2093441</v>
      </c>
      <c r="AE32" s="279">
        <f>SUM(X32:AC32)</f>
        <v>714566</v>
      </c>
      <c r="AF32" s="284"/>
      <c r="AG32" s="269">
        <f>SUM(AA32:AC32)</f>
        <v>100000</v>
      </c>
      <c r="AH32" s="108"/>
      <c r="AI32" s="200" t="s">
        <v>214</v>
      </c>
      <c r="AJ32" s="150"/>
      <c r="AK32" s="150" t="s">
        <v>215</v>
      </c>
      <c r="AL32" s="150"/>
      <c r="AM32" s="150"/>
      <c r="AN32" s="166" t="s">
        <v>201</v>
      </c>
      <c r="AO32" s="166"/>
      <c r="AP32" s="166"/>
      <c r="AQ32" s="166"/>
      <c r="AR32" s="166"/>
      <c r="AS32" s="150"/>
      <c r="AT32" s="150"/>
      <c r="AU32" s="150"/>
      <c r="AV32" s="150"/>
      <c r="AW32" s="142"/>
      <c r="AX32" s="142"/>
      <c r="AY32" s="142"/>
      <c r="AZ32" s="142"/>
      <c r="BA32" s="142"/>
      <c r="BB32" s="142"/>
      <c r="BC32" s="142"/>
      <c r="BD32" s="142"/>
      <c r="BE32" s="142"/>
      <c r="BF32" s="142"/>
      <c r="BG32" s="142"/>
      <c r="BH32" s="142"/>
      <c r="BI32" s="142"/>
      <c r="BJ32" s="144"/>
      <c r="BK32" s="144"/>
      <c r="BL32" s="144"/>
      <c r="BM32" s="144"/>
      <c r="BN32" s="144"/>
      <c r="BO32" s="144"/>
      <c r="BP32" s="144"/>
    </row>
    <row r="33" spans="1:399" ht="24" customHeight="1">
      <c r="A33" s="137" t="s">
        <v>216</v>
      </c>
      <c r="B33" s="119"/>
      <c r="C33" s="119"/>
      <c r="D33" s="119"/>
      <c r="E33" s="119"/>
      <c r="F33" s="119"/>
      <c r="G33" s="119"/>
      <c r="H33" s="111"/>
      <c r="I33" s="111"/>
      <c r="J33" s="111"/>
      <c r="K33" s="95">
        <f t="shared" ref="K33:S33" si="7">-(K9+K10+K11)*0.05</f>
        <v>254307.45</v>
      </c>
      <c r="L33" s="95">
        <f t="shared" si="7"/>
        <v>248885.7</v>
      </c>
      <c r="M33" s="95">
        <f t="shared" si="7"/>
        <v>210038.2</v>
      </c>
      <c r="N33" s="95">
        <f t="shared" si="7"/>
        <v>133286.39999999999</v>
      </c>
      <c r="O33" s="95">
        <f t="shared" si="7"/>
        <v>207936.6</v>
      </c>
      <c r="P33" s="95">
        <f t="shared" si="7"/>
        <v>138516.55000000002</v>
      </c>
      <c r="Q33" s="95">
        <f t="shared" si="7"/>
        <v>157117.55000000002</v>
      </c>
      <c r="R33" s="95">
        <f t="shared" si="7"/>
        <v>188605.6</v>
      </c>
      <c r="S33" s="95">
        <f t="shared" si="7"/>
        <v>176530.35</v>
      </c>
      <c r="T33" s="95">
        <f>-(T9+T10+T11+T12)*0.05+4500000</f>
        <v>4676799.2</v>
      </c>
      <c r="U33" s="95">
        <f>-(U9+U10+U11+U12)*0.05</f>
        <v>59546.701000000001</v>
      </c>
      <c r="V33" s="95"/>
      <c r="W33" s="95"/>
      <c r="X33" s="95"/>
      <c r="Y33" s="95"/>
      <c r="Z33" s="95"/>
      <c r="AA33" s="96"/>
      <c r="AB33" s="96"/>
      <c r="AC33" s="255"/>
      <c r="AD33" s="279">
        <f>SUM(N33:W33)</f>
        <v>5738338.9510000004</v>
      </c>
      <c r="AE33" s="279">
        <f>SUM(X33:AC33)</f>
        <v>0</v>
      </c>
      <c r="AF33" s="284"/>
      <c r="AG33" s="269">
        <f>SUM(AA33:AC33)</f>
        <v>0</v>
      </c>
      <c r="AI33" s="184"/>
      <c r="AJ33" s="184"/>
      <c r="AK33" s="184"/>
      <c r="AL33" s="184"/>
      <c r="AM33" s="150"/>
      <c r="AN33" s="166"/>
      <c r="AO33" s="166"/>
      <c r="AP33" s="166"/>
      <c r="AQ33" s="166"/>
      <c r="AR33" s="166"/>
      <c r="AS33" s="150"/>
      <c r="AT33" s="150"/>
      <c r="AU33" s="150"/>
      <c r="AV33" s="150"/>
      <c r="AW33" s="142"/>
      <c r="AX33" s="142"/>
      <c r="AY33" s="142"/>
      <c r="AZ33" s="142"/>
      <c r="BA33" s="142"/>
      <c r="BB33" s="142"/>
      <c r="BC33" s="142"/>
      <c r="BD33" s="142"/>
      <c r="BE33" s="142"/>
      <c r="BF33" s="142"/>
      <c r="BG33" s="142"/>
      <c r="BH33" s="142"/>
      <c r="BI33" s="142"/>
      <c r="BJ33" s="144"/>
      <c r="BK33" s="144"/>
      <c r="BL33" s="144"/>
      <c r="BM33" s="144"/>
      <c r="BN33" s="144"/>
      <c r="BO33" s="144"/>
      <c r="BP33" s="144"/>
    </row>
    <row r="34" spans="1:399" s="121" customFormat="1" ht="24" customHeight="1">
      <c r="A34" s="138" t="s">
        <v>217</v>
      </c>
      <c r="B34" s="119"/>
      <c r="C34" s="119">
        <v>610000</v>
      </c>
      <c r="D34" s="119"/>
      <c r="E34" s="119">
        <v>4320000</v>
      </c>
      <c r="F34" s="119"/>
      <c r="G34" s="119">
        <v>2100000</v>
      </c>
      <c r="H34" s="120">
        <f>1700000-H23</f>
        <v>1950000</v>
      </c>
      <c r="I34" s="120">
        <f>450000+550000-I23-I24</f>
        <v>1000000</v>
      </c>
      <c r="J34" s="120">
        <f>825000+1845000+1390000</f>
        <v>4060000</v>
      </c>
      <c r="K34" s="120">
        <v>4040000</v>
      </c>
      <c r="L34" s="120">
        <f>460000+2000000+2930000-L23-L24-L26</f>
        <v>5490000</v>
      </c>
      <c r="M34" s="120">
        <f>-M23-M24</f>
        <v>480000</v>
      </c>
      <c r="N34" s="120">
        <f>485000-N23-N24</f>
        <v>485000</v>
      </c>
      <c r="O34" s="120">
        <f>72000-O23-O24</f>
        <v>382000</v>
      </c>
      <c r="P34" s="120">
        <f>985000-P23-P24</f>
        <v>1335000</v>
      </c>
      <c r="Q34" s="120">
        <f>74191-Q23-Q24-Q26</f>
        <v>879191</v>
      </c>
      <c r="R34" s="120">
        <f>5000000+13841+197789-R23-R24-R26</f>
        <v>5952630</v>
      </c>
      <c r="S34" s="120">
        <f>110200-S23-S24-S26</f>
        <v>1155200</v>
      </c>
      <c r="T34" s="95">
        <f>265300-T23-T24-T26</f>
        <v>3550940</v>
      </c>
      <c r="U34" s="95">
        <f>243000+951000-U23-U24-U26-U25</f>
        <v>2194000</v>
      </c>
      <c r="V34" s="95">
        <f>215500+34000-V23-V24-V26-V25</f>
        <v>2049500</v>
      </c>
      <c r="W34" s="95">
        <f>28100+500000-W23-W24-W25</f>
        <v>703100</v>
      </c>
      <c r="X34" s="95">
        <f>-X23-X24-X26-X25</f>
        <v>0</v>
      </c>
      <c r="Y34" s="95">
        <f>121000-Y23-Y24-Y26-Y25</f>
        <v>121000</v>
      </c>
      <c r="Z34" s="95">
        <f>2500000-Z23-Z24-Z25</f>
        <v>2500000</v>
      </c>
      <c r="AA34" s="95">
        <v>2000000</v>
      </c>
      <c r="AB34" s="95">
        <v>2000000</v>
      </c>
      <c r="AC34" s="257">
        <v>3000000</v>
      </c>
      <c r="AD34" s="279">
        <f>SUM(N34:W34)</f>
        <v>18686561</v>
      </c>
      <c r="AE34" s="279">
        <f>SUM(X34:AC34)</f>
        <v>9621000</v>
      </c>
      <c r="AF34" s="294"/>
      <c r="AG34" s="269">
        <f>SUM(AA34:AC34)</f>
        <v>7000000</v>
      </c>
      <c r="AH34" s="82"/>
      <c r="AI34" s="200"/>
      <c r="AJ34" s="150"/>
      <c r="AK34" s="150"/>
      <c r="AL34" s="150"/>
      <c r="AM34" s="150"/>
      <c r="AN34" s="166"/>
      <c r="AO34" s="166"/>
      <c r="AP34" s="166"/>
      <c r="AQ34" s="166"/>
      <c r="AR34" s="166"/>
      <c r="AS34" s="150"/>
      <c r="AT34" s="150"/>
      <c r="AU34" s="150"/>
      <c r="AV34" s="150"/>
      <c r="AW34" s="142"/>
      <c r="AX34" s="142"/>
      <c r="AY34" s="142"/>
      <c r="AZ34" s="142"/>
      <c r="BA34" s="142"/>
      <c r="BB34" s="142"/>
      <c r="BC34" s="142"/>
      <c r="BD34" s="142"/>
      <c r="BE34" s="142"/>
      <c r="BF34" s="142"/>
      <c r="BG34" s="142"/>
      <c r="BH34" s="142"/>
      <c r="BI34" s="142"/>
      <c r="BJ34" s="144"/>
      <c r="BK34" s="144"/>
      <c r="BL34" s="144"/>
      <c r="BM34" s="144"/>
      <c r="BN34" s="144"/>
      <c r="BO34" s="144"/>
      <c r="BP34" s="144"/>
      <c r="BQ34" s="82"/>
      <c r="BR34" s="82"/>
      <c r="BS34" s="82"/>
      <c r="BT34" s="82"/>
      <c r="BU34" s="82"/>
      <c r="BV34" s="82"/>
      <c r="BW34" s="82"/>
      <c r="BX34" s="82"/>
      <c r="BY34" s="82"/>
      <c r="BZ34" s="82"/>
      <c r="CA34" s="82"/>
      <c r="CB34" s="82"/>
      <c r="CC34" s="82"/>
      <c r="CD34" s="82"/>
      <c r="CE34" s="82"/>
      <c r="CF34" s="82"/>
      <c r="CG34" s="82"/>
      <c r="CH34" s="82"/>
      <c r="CI34" s="82"/>
      <c r="CJ34" s="82"/>
      <c r="CK34" s="82"/>
      <c r="CL34" s="82"/>
      <c r="CM34" s="82"/>
      <c r="CN34" s="82"/>
      <c r="CO34" s="82"/>
      <c r="CP34" s="82"/>
      <c r="CQ34" s="82"/>
      <c r="CR34" s="82"/>
      <c r="CS34" s="82"/>
      <c r="CT34" s="82"/>
      <c r="CU34" s="82"/>
      <c r="CV34" s="82"/>
      <c r="CW34" s="82"/>
      <c r="CX34" s="82"/>
      <c r="CY34" s="82"/>
      <c r="CZ34" s="82"/>
      <c r="DA34" s="82"/>
      <c r="DB34" s="82"/>
      <c r="DC34" s="82"/>
      <c r="DD34" s="82"/>
      <c r="DE34" s="82"/>
      <c r="DF34" s="82"/>
      <c r="DG34" s="82"/>
      <c r="DH34" s="82"/>
      <c r="DI34" s="82"/>
      <c r="DJ34" s="82"/>
      <c r="DK34" s="82"/>
      <c r="DL34" s="82"/>
      <c r="DM34" s="82"/>
      <c r="DN34" s="82"/>
      <c r="DO34" s="82"/>
      <c r="DP34" s="82"/>
      <c r="DQ34" s="82"/>
      <c r="DR34" s="82"/>
      <c r="DS34" s="82"/>
      <c r="DT34" s="82"/>
      <c r="DU34" s="82"/>
      <c r="DV34" s="82"/>
      <c r="DW34" s="82"/>
      <c r="DX34" s="82"/>
      <c r="DY34" s="82"/>
      <c r="DZ34" s="82"/>
      <c r="EA34" s="82"/>
      <c r="EB34" s="82"/>
      <c r="EC34" s="82"/>
      <c r="ED34" s="82"/>
      <c r="EE34" s="82"/>
      <c r="EF34" s="82"/>
      <c r="EG34" s="82"/>
      <c r="EH34" s="82"/>
      <c r="EI34" s="82"/>
      <c r="EJ34" s="82"/>
      <c r="EK34" s="82"/>
      <c r="EL34" s="82"/>
      <c r="EM34" s="82"/>
      <c r="EN34" s="82"/>
      <c r="EO34" s="82"/>
      <c r="EP34" s="82"/>
      <c r="EQ34" s="82"/>
      <c r="ER34" s="82"/>
      <c r="ES34" s="82"/>
      <c r="ET34" s="82"/>
      <c r="EU34" s="82"/>
      <c r="EV34" s="82"/>
      <c r="EW34" s="82"/>
      <c r="EX34" s="82"/>
      <c r="EY34" s="82"/>
      <c r="EZ34" s="82"/>
      <c r="FA34" s="82"/>
      <c r="FB34" s="82"/>
      <c r="FC34" s="82"/>
      <c r="FD34" s="82"/>
      <c r="FE34" s="82"/>
      <c r="FF34" s="82"/>
      <c r="FG34" s="82"/>
      <c r="FH34" s="82"/>
      <c r="FI34" s="82"/>
      <c r="FJ34" s="82"/>
      <c r="FK34" s="82"/>
      <c r="FL34" s="82"/>
      <c r="FM34" s="82"/>
      <c r="FN34" s="82"/>
      <c r="FO34" s="82"/>
      <c r="FP34" s="82"/>
      <c r="FQ34" s="82"/>
      <c r="FR34" s="82"/>
      <c r="FS34" s="82"/>
      <c r="FT34" s="82"/>
      <c r="FU34" s="82"/>
      <c r="FV34" s="82"/>
      <c r="FW34" s="82"/>
      <c r="FX34" s="82"/>
      <c r="FY34" s="82"/>
      <c r="FZ34" s="82"/>
      <c r="GA34" s="82"/>
      <c r="GB34" s="82"/>
      <c r="GC34" s="82"/>
      <c r="GD34" s="82"/>
      <c r="GE34" s="82"/>
      <c r="GF34" s="82"/>
      <c r="GG34" s="82"/>
      <c r="GH34" s="82"/>
      <c r="GI34" s="82"/>
      <c r="GJ34" s="82"/>
      <c r="GK34" s="82"/>
      <c r="GL34" s="82"/>
      <c r="GM34" s="82"/>
      <c r="GN34" s="82"/>
      <c r="GO34" s="82"/>
      <c r="GP34" s="82"/>
      <c r="GQ34" s="82"/>
      <c r="GR34" s="82"/>
      <c r="GS34" s="82"/>
      <c r="GT34" s="82"/>
      <c r="GU34" s="82"/>
      <c r="GV34" s="82"/>
      <c r="GW34" s="82"/>
      <c r="GX34" s="82"/>
      <c r="GY34" s="82"/>
      <c r="GZ34" s="82"/>
      <c r="HA34" s="82"/>
      <c r="HB34" s="82"/>
      <c r="HC34" s="82"/>
      <c r="HD34" s="82"/>
      <c r="HE34" s="82"/>
      <c r="HF34" s="82"/>
      <c r="HG34" s="82"/>
      <c r="HH34" s="82"/>
      <c r="HI34" s="82"/>
      <c r="HJ34" s="82"/>
      <c r="HK34" s="82"/>
      <c r="HL34" s="82"/>
      <c r="HM34" s="82"/>
      <c r="HN34" s="82"/>
      <c r="HO34" s="82"/>
      <c r="HP34" s="82"/>
      <c r="HQ34" s="82"/>
      <c r="HR34" s="82"/>
      <c r="HS34" s="82"/>
      <c r="HT34" s="82"/>
      <c r="HU34" s="82"/>
      <c r="HV34" s="82"/>
      <c r="HW34" s="82"/>
      <c r="HX34" s="82"/>
      <c r="HY34" s="82"/>
      <c r="HZ34" s="82"/>
      <c r="IA34" s="82"/>
      <c r="IB34" s="82"/>
      <c r="IC34" s="82"/>
      <c r="ID34" s="82"/>
      <c r="IE34" s="82"/>
      <c r="IF34" s="82"/>
      <c r="IG34" s="82"/>
      <c r="IH34" s="82"/>
      <c r="II34" s="82"/>
      <c r="IJ34" s="82"/>
      <c r="IK34" s="82"/>
      <c r="IL34" s="82"/>
      <c r="IM34" s="82"/>
      <c r="IN34" s="82"/>
      <c r="IO34" s="82"/>
      <c r="IP34" s="82"/>
      <c r="IQ34" s="82"/>
      <c r="IR34" s="82"/>
      <c r="IS34" s="82"/>
      <c r="IT34" s="82"/>
      <c r="IU34" s="82"/>
      <c r="IV34" s="82"/>
      <c r="IW34" s="82"/>
      <c r="IX34" s="82"/>
      <c r="IY34" s="82"/>
      <c r="IZ34" s="82"/>
      <c r="JA34" s="82"/>
      <c r="JB34" s="82"/>
      <c r="JC34" s="82"/>
      <c r="JD34" s="82"/>
      <c r="JE34" s="82"/>
      <c r="JF34" s="82"/>
      <c r="JG34" s="82"/>
      <c r="JH34" s="82"/>
      <c r="JI34" s="82"/>
      <c r="JJ34" s="82"/>
      <c r="JK34" s="82"/>
      <c r="JL34" s="82"/>
      <c r="JM34" s="82"/>
      <c r="JN34" s="82"/>
      <c r="JO34" s="82"/>
      <c r="JP34" s="82"/>
      <c r="JQ34" s="82"/>
      <c r="JR34" s="82"/>
      <c r="JS34" s="82"/>
      <c r="JT34" s="82"/>
      <c r="JU34" s="82"/>
      <c r="JV34" s="82"/>
      <c r="JW34" s="82"/>
      <c r="JX34" s="82"/>
      <c r="JY34" s="82"/>
      <c r="JZ34" s="82"/>
      <c r="KA34" s="82"/>
      <c r="KB34" s="82"/>
      <c r="KC34" s="82"/>
      <c r="KD34" s="82"/>
      <c r="KE34" s="82"/>
      <c r="KF34" s="82"/>
      <c r="KG34" s="82"/>
      <c r="KH34" s="82"/>
      <c r="KI34" s="82"/>
      <c r="KJ34" s="82"/>
      <c r="KK34" s="82"/>
      <c r="KL34" s="82"/>
      <c r="KM34" s="82"/>
      <c r="KN34" s="82"/>
      <c r="KO34" s="82"/>
      <c r="KP34" s="82"/>
      <c r="KQ34" s="82"/>
      <c r="KR34" s="82"/>
      <c r="KS34" s="82"/>
      <c r="KT34" s="82"/>
      <c r="KU34" s="82"/>
      <c r="KV34" s="82"/>
      <c r="KW34" s="82"/>
      <c r="KX34" s="82"/>
      <c r="KY34" s="82"/>
      <c r="KZ34" s="82"/>
      <c r="LA34" s="82"/>
      <c r="LB34" s="82"/>
      <c r="LC34" s="82"/>
      <c r="LD34" s="82"/>
      <c r="LE34" s="82"/>
      <c r="LF34" s="82"/>
      <c r="LG34" s="82"/>
      <c r="LH34" s="82"/>
      <c r="LI34" s="82"/>
      <c r="LJ34" s="82"/>
      <c r="LK34" s="82"/>
      <c r="LL34" s="82"/>
      <c r="LM34" s="82"/>
      <c r="LN34" s="82"/>
      <c r="LO34" s="82"/>
      <c r="LP34" s="82"/>
      <c r="LQ34" s="82"/>
      <c r="LR34" s="82"/>
      <c r="LS34" s="82"/>
      <c r="LT34" s="82"/>
      <c r="LU34" s="82"/>
      <c r="LV34" s="82"/>
      <c r="LW34" s="82"/>
      <c r="LX34" s="82"/>
      <c r="LY34" s="82"/>
      <c r="LZ34" s="82"/>
      <c r="MA34" s="82"/>
      <c r="MB34" s="82"/>
      <c r="MC34" s="82"/>
      <c r="MD34" s="82"/>
      <c r="ME34" s="82"/>
      <c r="MF34" s="82"/>
      <c r="MG34" s="82"/>
      <c r="MH34" s="82"/>
      <c r="MI34" s="82"/>
      <c r="MJ34" s="82"/>
      <c r="MK34" s="82"/>
      <c r="ML34" s="82"/>
      <c r="MM34" s="82"/>
      <c r="MN34" s="82"/>
      <c r="MO34" s="82"/>
      <c r="MP34" s="82"/>
      <c r="MQ34" s="82"/>
      <c r="MR34" s="82"/>
      <c r="MS34" s="82"/>
      <c r="MT34" s="82"/>
      <c r="MU34" s="82"/>
      <c r="MV34" s="82"/>
      <c r="MW34" s="82"/>
      <c r="MX34" s="82"/>
      <c r="MY34" s="82"/>
      <c r="MZ34" s="82"/>
      <c r="NA34" s="82"/>
      <c r="NB34" s="82"/>
      <c r="NC34" s="82"/>
      <c r="ND34" s="82"/>
      <c r="NE34" s="82"/>
      <c r="NF34" s="82"/>
      <c r="NG34" s="82"/>
      <c r="NH34" s="82"/>
      <c r="NI34" s="82"/>
      <c r="NJ34" s="82"/>
      <c r="NK34" s="82"/>
      <c r="NL34" s="82"/>
      <c r="NM34" s="82"/>
      <c r="NN34" s="82"/>
      <c r="NO34" s="82"/>
      <c r="NP34" s="82"/>
      <c r="NQ34" s="82"/>
      <c r="NR34" s="82"/>
      <c r="NS34" s="82"/>
      <c r="NT34" s="82"/>
      <c r="NU34" s="82"/>
      <c r="NV34" s="82"/>
      <c r="NW34" s="82"/>
      <c r="NX34" s="82"/>
      <c r="NY34" s="82"/>
      <c r="NZ34" s="82"/>
      <c r="OA34" s="82"/>
      <c r="OB34" s="82"/>
      <c r="OC34" s="82"/>
      <c r="OD34" s="82"/>
      <c r="OE34" s="82"/>
      <c r="OF34" s="82"/>
      <c r="OG34" s="82"/>
      <c r="OH34" s="82"/>
      <c r="OI34" s="82"/>
    </row>
    <row r="35" spans="1:399" ht="24" customHeight="1">
      <c r="A35" s="137" t="s">
        <v>218</v>
      </c>
      <c r="B35" s="119">
        <v>7380000</v>
      </c>
      <c r="C35" s="119"/>
      <c r="D35" s="119"/>
      <c r="E35" s="119"/>
      <c r="F35" s="119">
        <v>10000000</v>
      </c>
      <c r="G35" s="119"/>
      <c r="H35" s="111"/>
      <c r="I35" s="111"/>
      <c r="J35" s="111"/>
      <c r="K35" s="111"/>
      <c r="L35" s="111"/>
      <c r="M35" s="119">
        <v>30000000</v>
      </c>
      <c r="N35" s="119"/>
      <c r="O35" s="119"/>
      <c r="P35" s="119"/>
      <c r="Q35" s="119"/>
      <c r="R35" s="119"/>
      <c r="S35" s="119"/>
      <c r="T35" s="95"/>
      <c r="U35" s="95"/>
      <c r="V35" s="95"/>
      <c r="W35" s="95"/>
      <c r="X35" s="95"/>
      <c r="Y35" s="95"/>
      <c r="Z35" s="95"/>
      <c r="AA35" s="122"/>
      <c r="AB35" s="123"/>
      <c r="AC35" s="123"/>
      <c r="AD35" s="295"/>
      <c r="AE35" s="295"/>
      <c r="AF35" s="296"/>
      <c r="AG35" s="269">
        <f>SUM(X35:Z35)</f>
        <v>0</v>
      </c>
      <c r="AI35" s="149"/>
      <c r="AJ35" s="150"/>
      <c r="AK35" s="150"/>
      <c r="AL35" s="150"/>
      <c r="AM35" s="150"/>
      <c r="AN35" s="166"/>
      <c r="AO35" s="166"/>
      <c r="AP35" s="166"/>
      <c r="AQ35" s="166"/>
      <c r="AR35" s="150"/>
      <c r="AS35" s="150"/>
      <c r="AT35" s="150"/>
      <c r="AU35" s="150"/>
      <c r="AV35" s="150"/>
      <c r="AW35" s="142"/>
      <c r="AX35" s="142"/>
      <c r="AY35" s="142"/>
      <c r="AZ35" s="142"/>
      <c r="BA35" s="142"/>
      <c r="BB35" s="142"/>
      <c r="BC35" s="142"/>
      <c r="BD35" s="142"/>
      <c r="BE35" s="142"/>
      <c r="BF35" s="142"/>
      <c r="BG35" s="142"/>
      <c r="BH35" s="142"/>
      <c r="BI35" s="142"/>
      <c r="BJ35" s="144"/>
      <c r="BK35" s="144"/>
      <c r="BL35" s="144"/>
      <c r="BM35" s="144"/>
      <c r="BN35" s="144"/>
      <c r="BO35" s="144"/>
      <c r="BP35" s="144"/>
    </row>
    <row r="36" spans="1:399" s="88" customFormat="1" ht="24" customHeight="1" thickBot="1">
      <c r="A36" s="112" t="s">
        <v>219</v>
      </c>
      <c r="B36" s="124">
        <f t="shared" ref="B36:AE36" si="8">SUM(B31:B35)</f>
        <v>7380000</v>
      </c>
      <c r="C36" s="124">
        <f t="shared" si="8"/>
        <v>610000</v>
      </c>
      <c r="D36" s="124">
        <f t="shared" si="8"/>
        <v>3800000</v>
      </c>
      <c r="E36" s="124">
        <f t="shared" si="8"/>
        <v>4320000</v>
      </c>
      <c r="F36" s="124">
        <f t="shared" si="8"/>
        <v>10000000</v>
      </c>
      <c r="G36" s="124">
        <f t="shared" si="8"/>
        <v>2100000</v>
      </c>
      <c r="H36" s="124">
        <f t="shared" si="8"/>
        <v>2060000</v>
      </c>
      <c r="I36" s="124">
        <f t="shared" si="8"/>
        <v>1050000</v>
      </c>
      <c r="J36" s="124">
        <f t="shared" si="8"/>
        <v>4126000</v>
      </c>
      <c r="K36" s="124">
        <f t="shared" si="8"/>
        <v>4294307.45</v>
      </c>
      <c r="L36" s="124">
        <f t="shared" si="8"/>
        <v>5738885.7000000002</v>
      </c>
      <c r="M36" s="124">
        <f t="shared" si="8"/>
        <v>30690038.199999999</v>
      </c>
      <c r="N36" s="124">
        <f t="shared" si="8"/>
        <v>666832.4</v>
      </c>
      <c r="O36" s="124">
        <f t="shared" si="8"/>
        <v>589936.6</v>
      </c>
      <c r="P36" s="124">
        <f t="shared" si="8"/>
        <v>1473516.55</v>
      </c>
      <c r="Q36" s="124">
        <f t="shared" si="8"/>
        <v>1036308.55</v>
      </c>
      <c r="R36" s="124">
        <f t="shared" si="8"/>
        <v>12141235.6</v>
      </c>
      <c r="S36" s="124">
        <f t="shared" si="8"/>
        <v>1607930.35</v>
      </c>
      <c r="T36" s="125">
        <f t="shared" si="8"/>
        <v>8227739.2000000002</v>
      </c>
      <c r="U36" s="125">
        <f t="shared" si="8"/>
        <v>2253546.7009999999</v>
      </c>
      <c r="V36" s="125">
        <f t="shared" si="8"/>
        <v>2049500</v>
      </c>
      <c r="W36" s="125">
        <f t="shared" si="8"/>
        <v>5591795</v>
      </c>
      <c r="X36" s="125">
        <f t="shared" si="8"/>
        <v>132000</v>
      </c>
      <c r="Y36" s="125">
        <f t="shared" si="8"/>
        <v>4551118</v>
      </c>
      <c r="Z36" s="125">
        <f t="shared" si="8"/>
        <v>2982566</v>
      </c>
      <c r="AA36" s="125">
        <f t="shared" si="8"/>
        <v>2000000</v>
      </c>
      <c r="AB36" s="125">
        <f t="shared" si="8"/>
        <v>2100000</v>
      </c>
      <c r="AC36" s="259">
        <f t="shared" si="8"/>
        <v>3000000</v>
      </c>
      <c r="AD36" s="297">
        <f t="shared" si="8"/>
        <v>35638340.951000005</v>
      </c>
      <c r="AE36" s="297">
        <f t="shared" si="8"/>
        <v>14765684</v>
      </c>
      <c r="AF36" s="298"/>
      <c r="AG36" s="270">
        <f>SUM(AG31:AG35)</f>
        <v>7100000</v>
      </c>
      <c r="AH36" s="93"/>
      <c r="AI36" s="149"/>
      <c r="AJ36" s="150"/>
      <c r="AK36" s="150"/>
      <c r="AL36" s="150"/>
      <c r="AM36" s="150"/>
      <c r="AN36" s="150"/>
      <c r="AO36" s="150"/>
      <c r="AP36" s="150"/>
      <c r="AQ36" s="150"/>
      <c r="AR36" s="150"/>
      <c r="AS36" s="150"/>
      <c r="AT36" s="150"/>
      <c r="AU36" s="150"/>
      <c r="AV36" s="150"/>
      <c r="AW36" s="142"/>
      <c r="AX36" s="142"/>
      <c r="AY36" s="142"/>
      <c r="AZ36" s="142"/>
      <c r="BA36" s="142"/>
      <c r="BB36" s="142"/>
      <c r="BC36" s="142"/>
      <c r="BD36" s="142"/>
      <c r="BE36" s="142"/>
      <c r="BF36" s="142"/>
      <c r="BG36" s="142"/>
      <c r="BH36" s="142"/>
      <c r="BI36" s="142"/>
      <c r="BJ36" s="143"/>
      <c r="BK36" s="143"/>
      <c r="BL36" s="143"/>
      <c r="BM36" s="143"/>
      <c r="BN36" s="143"/>
      <c r="BO36" s="143"/>
      <c r="BP36" s="143"/>
      <c r="BQ36" s="93"/>
      <c r="BR36" s="93"/>
      <c r="BS36" s="93"/>
      <c r="BT36" s="93"/>
      <c r="BU36" s="93"/>
      <c r="BV36" s="93"/>
      <c r="BW36" s="93"/>
      <c r="BX36" s="93"/>
      <c r="BY36" s="93"/>
      <c r="BZ36" s="93"/>
      <c r="CA36" s="93"/>
      <c r="CB36" s="93"/>
      <c r="CC36" s="93"/>
      <c r="CD36" s="93"/>
      <c r="CE36" s="93"/>
      <c r="CF36" s="93"/>
      <c r="CG36" s="93"/>
      <c r="CH36" s="93"/>
      <c r="CI36" s="93"/>
      <c r="CJ36" s="93"/>
      <c r="CK36" s="93"/>
      <c r="CL36" s="93"/>
      <c r="CM36" s="93"/>
      <c r="CN36" s="93"/>
      <c r="CO36" s="93"/>
      <c r="CP36" s="93"/>
      <c r="CQ36" s="93"/>
      <c r="CR36" s="93"/>
      <c r="CS36" s="93"/>
      <c r="CT36" s="93"/>
      <c r="CU36" s="93"/>
      <c r="CV36" s="93"/>
      <c r="CW36" s="93"/>
      <c r="CX36" s="93"/>
      <c r="CY36" s="93"/>
      <c r="CZ36" s="93"/>
      <c r="DA36" s="93"/>
      <c r="DB36" s="93"/>
      <c r="DC36" s="93"/>
      <c r="DD36" s="93"/>
      <c r="DE36" s="93"/>
      <c r="DF36" s="93"/>
      <c r="DG36" s="93"/>
      <c r="DH36" s="93"/>
      <c r="DI36" s="93"/>
      <c r="DJ36" s="93"/>
      <c r="DK36" s="93"/>
      <c r="DL36" s="93"/>
      <c r="DM36" s="93"/>
      <c r="DN36" s="93"/>
      <c r="DO36" s="93"/>
      <c r="DP36" s="93"/>
      <c r="DQ36" s="93"/>
      <c r="DR36" s="93"/>
      <c r="DS36" s="93"/>
      <c r="DT36" s="93"/>
      <c r="DU36" s="93"/>
      <c r="DV36" s="93"/>
      <c r="DW36" s="93"/>
      <c r="DX36" s="93"/>
      <c r="DY36" s="93"/>
      <c r="DZ36" s="93"/>
      <c r="EA36" s="93"/>
      <c r="EB36" s="93"/>
      <c r="EC36" s="93"/>
      <c r="ED36" s="93"/>
      <c r="EE36" s="93"/>
      <c r="EF36" s="93"/>
      <c r="EG36" s="93"/>
      <c r="EH36" s="93"/>
      <c r="EI36" s="93"/>
      <c r="EJ36" s="93"/>
      <c r="EK36" s="93"/>
      <c r="EL36" s="93"/>
      <c r="EM36" s="93"/>
      <c r="EN36" s="93"/>
      <c r="EO36" s="93"/>
      <c r="EP36" s="93"/>
      <c r="EQ36" s="93"/>
      <c r="ER36" s="93"/>
      <c r="ES36" s="93"/>
      <c r="ET36" s="93"/>
      <c r="EU36" s="93"/>
      <c r="EV36" s="93"/>
      <c r="EW36" s="93"/>
      <c r="EX36" s="93"/>
      <c r="EY36" s="93"/>
      <c r="EZ36" s="93"/>
      <c r="FA36" s="93"/>
      <c r="FB36" s="93"/>
      <c r="FC36" s="93"/>
      <c r="FD36" s="93"/>
      <c r="FE36" s="93"/>
      <c r="FF36" s="93"/>
      <c r="FG36" s="93"/>
      <c r="FH36" s="93"/>
      <c r="FI36" s="93"/>
      <c r="FJ36" s="93"/>
      <c r="FK36" s="93"/>
      <c r="FL36" s="93"/>
      <c r="FM36" s="93"/>
      <c r="FN36" s="93"/>
      <c r="FO36" s="93"/>
      <c r="FP36" s="93"/>
      <c r="FQ36" s="93"/>
      <c r="FR36" s="93"/>
      <c r="FS36" s="93"/>
      <c r="FT36" s="93"/>
      <c r="FU36" s="93"/>
      <c r="FV36" s="93"/>
      <c r="FW36" s="93"/>
      <c r="FX36" s="93"/>
      <c r="FY36" s="93"/>
      <c r="FZ36" s="93"/>
      <c r="GA36" s="93"/>
      <c r="GB36" s="93"/>
      <c r="GC36" s="93"/>
      <c r="GD36" s="93"/>
      <c r="GE36" s="93"/>
      <c r="GF36" s="93"/>
      <c r="GG36" s="93"/>
      <c r="GH36" s="93"/>
      <c r="GI36" s="93"/>
      <c r="GJ36" s="93"/>
      <c r="GK36" s="93"/>
      <c r="GL36" s="93"/>
      <c r="GM36" s="93"/>
      <c r="GN36" s="93"/>
      <c r="GO36" s="93"/>
      <c r="GP36" s="93"/>
      <c r="GQ36" s="93"/>
      <c r="GR36" s="93"/>
      <c r="GS36" s="93"/>
      <c r="GT36" s="93"/>
      <c r="GU36" s="93"/>
      <c r="GV36" s="93"/>
      <c r="GW36" s="93"/>
      <c r="GX36" s="93"/>
      <c r="GY36" s="93"/>
      <c r="GZ36" s="93"/>
      <c r="HA36" s="93"/>
      <c r="HB36" s="93"/>
      <c r="HC36" s="93"/>
      <c r="HD36" s="93"/>
      <c r="HE36" s="93"/>
      <c r="HF36" s="93"/>
      <c r="HG36" s="93"/>
      <c r="HH36" s="93"/>
      <c r="HI36" s="93"/>
      <c r="HJ36" s="93"/>
      <c r="HK36" s="93"/>
      <c r="HL36" s="93"/>
      <c r="HM36" s="93"/>
      <c r="HN36" s="93"/>
      <c r="HO36" s="93"/>
      <c r="HP36" s="93"/>
      <c r="HQ36" s="93"/>
      <c r="HR36" s="93"/>
      <c r="HS36" s="93"/>
      <c r="HT36" s="93"/>
      <c r="HU36" s="93"/>
      <c r="HV36" s="93"/>
      <c r="HW36" s="93"/>
      <c r="HX36" s="93"/>
      <c r="HY36" s="93"/>
      <c r="HZ36" s="93"/>
      <c r="IA36" s="93"/>
      <c r="IB36" s="93"/>
      <c r="IC36" s="93"/>
      <c r="ID36" s="93"/>
      <c r="IE36" s="93"/>
      <c r="IF36" s="93"/>
      <c r="IG36" s="93"/>
      <c r="IH36" s="93"/>
      <c r="II36" s="93"/>
      <c r="IJ36" s="93"/>
      <c r="IK36" s="93"/>
      <c r="IL36" s="93"/>
      <c r="IM36" s="93"/>
      <c r="IN36" s="93"/>
      <c r="IO36" s="93"/>
      <c r="IP36" s="93"/>
      <c r="IQ36" s="93"/>
      <c r="IR36" s="93"/>
      <c r="IS36" s="93"/>
      <c r="IT36" s="93"/>
      <c r="IU36" s="93"/>
      <c r="IV36" s="93"/>
      <c r="IW36" s="93"/>
      <c r="IX36" s="93"/>
      <c r="IY36" s="93"/>
      <c r="IZ36" s="93"/>
      <c r="JA36" s="93"/>
      <c r="JB36" s="93"/>
      <c r="JC36" s="93"/>
      <c r="JD36" s="93"/>
      <c r="JE36" s="93"/>
      <c r="JF36" s="93"/>
      <c r="JG36" s="93"/>
      <c r="JH36" s="93"/>
      <c r="JI36" s="93"/>
      <c r="JJ36" s="93"/>
      <c r="JK36" s="93"/>
      <c r="JL36" s="93"/>
      <c r="JM36" s="93"/>
      <c r="JN36" s="93"/>
      <c r="JO36" s="93"/>
      <c r="JP36" s="93"/>
      <c r="JQ36" s="93"/>
      <c r="JR36" s="93"/>
      <c r="JS36" s="93"/>
      <c r="JT36" s="93"/>
      <c r="JU36" s="93"/>
      <c r="JV36" s="93"/>
      <c r="JW36" s="93"/>
      <c r="JX36" s="93"/>
      <c r="JY36" s="93"/>
      <c r="JZ36" s="93"/>
      <c r="KA36" s="93"/>
      <c r="KB36" s="93"/>
      <c r="KC36" s="93"/>
      <c r="KD36" s="93"/>
      <c r="KE36" s="93"/>
      <c r="KF36" s="93"/>
      <c r="KG36" s="93"/>
      <c r="KH36" s="93"/>
      <c r="KI36" s="93"/>
      <c r="KJ36" s="93"/>
      <c r="KK36" s="93"/>
      <c r="KL36" s="93"/>
      <c r="KM36" s="93"/>
      <c r="KN36" s="93"/>
      <c r="KO36" s="93"/>
      <c r="KP36" s="93"/>
      <c r="KQ36" s="93"/>
      <c r="KR36" s="93"/>
      <c r="KS36" s="93"/>
      <c r="KT36" s="93"/>
      <c r="KU36" s="93"/>
      <c r="KV36" s="93"/>
      <c r="KW36" s="93"/>
      <c r="KX36" s="93"/>
      <c r="KY36" s="93"/>
      <c r="KZ36" s="93"/>
      <c r="LA36" s="93"/>
      <c r="LB36" s="93"/>
      <c r="LC36" s="93"/>
      <c r="LD36" s="93"/>
      <c r="LE36" s="93"/>
      <c r="LF36" s="93"/>
      <c r="LG36" s="93"/>
      <c r="LH36" s="93"/>
      <c r="LI36" s="93"/>
      <c r="LJ36" s="93"/>
      <c r="LK36" s="93"/>
      <c r="LL36" s="93"/>
      <c r="LM36" s="93"/>
      <c r="LN36" s="93"/>
      <c r="LO36" s="93"/>
      <c r="LP36" s="93"/>
      <c r="LQ36" s="93"/>
      <c r="LR36" s="93"/>
      <c r="LS36" s="93"/>
      <c r="LT36" s="93"/>
      <c r="LU36" s="93"/>
      <c r="LV36" s="93"/>
      <c r="LW36" s="93"/>
      <c r="LX36" s="93"/>
      <c r="LY36" s="93"/>
      <c r="LZ36" s="93"/>
      <c r="MA36" s="93"/>
      <c r="MB36" s="93"/>
      <c r="MC36" s="93"/>
      <c r="MD36" s="93"/>
      <c r="ME36" s="93"/>
      <c r="MF36" s="93"/>
      <c r="MG36" s="93"/>
      <c r="MH36" s="93"/>
      <c r="MI36" s="93"/>
      <c r="MJ36" s="93"/>
      <c r="MK36" s="93"/>
      <c r="ML36" s="93"/>
      <c r="MM36" s="93"/>
      <c r="MN36" s="93"/>
      <c r="MO36" s="93"/>
      <c r="MP36" s="93"/>
      <c r="MQ36" s="93"/>
      <c r="MR36" s="93"/>
      <c r="MS36" s="93"/>
      <c r="MT36" s="93"/>
      <c r="MU36" s="93"/>
      <c r="MV36" s="93"/>
      <c r="MW36" s="93"/>
      <c r="MX36" s="93"/>
      <c r="MY36" s="93"/>
      <c r="MZ36" s="93"/>
      <c r="NA36" s="93"/>
      <c r="NB36" s="93"/>
      <c r="NC36" s="93"/>
      <c r="ND36" s="93"/>
      <c r="NE36" s="93"/>
      <c r="NF36" s="93"/>
      <c r="NG36" s="93"/>
      <c r="NH36" s="93"/>
      <c r="NI36" s="93"/>
      <c r="NJ36" s="93"/>
      <c r="NK36" s="93"/>
      <c r="NL36" s="93"/>
      <c r="NM36" s="93"/>
      <c r="NN36" s="93"/>
      <c r="NO36" s="93"/>
      <c r="NP36" s="93"/>
      <c r="NQ36" s="93"/>
      <c r="NR36" s="93"/>
      <c r="NS36" s="93"/>
      <c r="NT36" s="93"/>
      <c r="NU36" s="93"/>
      <c r="NV36" s="93"/>
      <c r="NW36" s="93"/>
      <c r="NX36" s="93"/>
      <c r="NY36" s="93"/>
      <c r="NZ36" s="93"/>
      <c r="OA36" s="93"/>
      <c r="OB36" s="93"/>
      <c r="OC36" s="93"/>
      <c r="OD36" s="93"/>
      <c r="OE36" s="93"/>
      <c r="OF36" s="93"/>
      <c r="OG36" s="93"/>
      <c r="OH36" s="93"/>
      <c r="OI36" s="93"/>
    </row>
    <row r="37" spans="1:399" s="93" customFormat="1" ht="24" customHeight="1" thickBot="1">
      <c r="A37" s="126"/>
      <c r="B37" s="127"/>
      <c r="C37" s="127"/>
      <c r="D37" s="127"/>
      <c r="E37" s="127"/>
      <c r="F37" s="127"/>
      <c r="G37" s="127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297"/>
      <c r="AE37" s="299"/>
      <c r="AF37" s="300"/>
      <c r="AG37" s="271"/>
      <c r="AI37" s="149"/>
      <c r="AJ37" s="150"/>
      <c r="AK37" s="150"/>
      <c r="AL37" s="150"/>
      <c r="AM37" s="150"/>
      <c r="AN37" s="150"/>
      <c r="AO37" s="150"/>
      <c r="AP37" s="150"/>
      <c r="AQ37" s="150"/>
      <c r="AR37" s="150"/>
      <c r="AS37" s="150"/>
      <c r="AT37" s="150"/>
      <c r="AU37" s="150"/>
      <c r="AV37" s="150"/>
      <c r="AW37" s="142"/>
      <c r="AX37" s="142"/>
      <c r="AY37" s="142"/>
      <c r="AZ37" s="142"/>
      <c r="BA37" s="142"/>
      <c r="BB37" s="142"/>
      <c r="BC37" s="142"/>
      <c r="BD37" s="142"/>
      <c r="BE37" s="142"/>
      <c r="BF37" s="142"/>
      <c r="BG37" s="142"/>
      <c r="BH37" s="142"/>
      <c r="BI37" s="142"/>
      <c r="BJ37" s="143"/>
      <c r="BK37" s="143"/>
      <c r="BL37" s="143"/>
      <c r="BM37" s="143"/>
      <c r="BN37" s="143"/>
      <c r="BO37" s="143"/>
      <c r="BP37" s="143"/>
    </row>
    <row r="38" spans="1:399" ht="24" customHeight="1" thickBot="1">
      <c r="A38" s="130" t="s">
        <v>51</v>
      </c>
      <c r="B38" s="131">
        <f t="shared" ref="B38:AE38" si="9">B6+B28+B36</f>
        <v>1355000</v>
      </c>
      <c r="C38" s="131">
        <f t="shared" si="9"/>
        <v>-482500</v>
      </c>
      <c r="D38" s="131">
        <f t="shared" si="9"/>
        <v>3317500</v>
      </c>
      <c r="E38" s="131">
        <f t="shared" si="9"/>
        <v>-1363000</v>
      </c>
      <c r="F38" s="131">
        <f t="shared" si="9"/>
        <v>1702974</v>
      </c>
      <c r="G38" s="131">
        <f t="shared" si="9"/>
        <v>4852882.24</v>
      </c>
      <c r="H38" s="131">
        <f t="shared" si="9"/>
        <v>2450702.4800000004</v>
      </c>
      <c r="I38" s="131">
        <f t="shared" si="9"/>
        <v>435361.90000000037</v>
      </c>
      <c r="J38" s="131">
        <f t="shared" si="9"/>
        <v>656879.02000000048</v>
      </c>
      <c r="K38" s="131">
        <f t="shared" si="9"/>
        <v>-5511675.9299999988</v>
      </c>
      <c r="L38" s="131">
        <f t="shared" si="9"/>
        <v>-5977933.8299999973</v>
      </c>
      <c r="M38" s="131">
        <f t="shared" si="9"/>
        <v>17001184.470000003</v>
      </c>
      <c r="N38" s="131">
        <f t="shared" si="9"/>
        <v>13625284.690000003</v>
      </c>
      <c r="O38" s="131">
        <f t="shared" si="9"/>
        <v>8738511.5300000031</v>
      </c>
      <c r="P38" s="131">
        <f t="shared" si="9"/>
        <v>4987434.0400000028</v>
      </c>
      <c r="Q38" s="131">
        <f t="shared" si="9"/>
        <v>742486.25000000303</v>
      </c>
      <c r="R38" s="131">
        <f t="shared" si="9"/>
        <v>6909341.870000002</v>
      </c>
      <c r="S38" s="131">
        <f t="shared" si="9"/>
        <v>2066194.4800000018</v>
      </c>
      <c r="T38" s="131">
        <f t="shared" si="9"/>
        <v>2053300.5000000028</v>
      </c>
      <c r="U38" s="131">
        <f t="shared" si="9"/>
        <v>1279962.7416000026</v>
      </c>
      <c r="V38" s="131">
        <f t="shared" si="9"/>
        <v>270211.56260000262</v>
      </c>
      <c r="W38" s="131">
        <f t="shared" si="9"/>
        <v>2569129.5626000026</v>
      </c>
      <c r="X38" s="131">
        <f t="shared" si="9"/>
        <v>1778726.1626000027</v>
      </c>
      <c r="Y38" s="131">
        <f t="shared" si="9"/>
        <v>265892.16260000318</v>
      </c>
      <c r="Z38" s="131">
        <f t="shared" si="9"/>
        <v>224410.6826000032</v>
      </c>
      <c r="AA38" s="132">
        <f t="shared" si="9"/>
        <v>-299589.3173999968</v>
      </c>
      <c r="AB38" s="132">
        <f t="shared" si="9"/>
        <v>320410.6826000032</v>
      </c>
      <c r="AC38" s="260">
        <f t="shared" si="9"/>
        <v>90410.682600003202</v>
      </c>
      <c r="AD38" s="260">
        <f t="shared" si="9"/>
        <v>2569129.5626000054</v>
      </c>
      <c r="AE38" s="260">
        <f t="shared" si="9"/>
        <v>90410.682600002736</v>
      </c>
      <c r="AF38" s="301"/>
      <c r="AG38" s="272">
        <f>AG6+AG28+AG36</f>
        <v>-134000</v>
      </c>
      <c r="AI38" s="149"/>
      <c r="AJ38" s="150"/>
      <c r="AK38" s="150"/>
      <c r="AL38" s="150"/>
      <c r="AM38" s="150"/>
      <c r="AN38" s="150"/>
      <c r="AO38" s="150"/>
      <c r="AP38" s="150"/>
      <c r="AQ38" s="150"/>
      <c r="AR38" s="150"/>
      <c r="AS38" s="150"/>
      <c r="AT38" s="150"/>
      <c r="AU38" s="150"/>
      <c r="AV38" s="150"/>
      <c r="AW38" s="142"/>
      <c r="AX38" s="142"/>
      <c r="AY38" s="142"/>
      <c r="AZ38" s="142"/>
      <c r="BA38" s="142"/>
      <c r="BB38" s="142"/>
      <c r="BC38" s="142"/>
      <c r="BD38" s="142"/>
      <c r="BE38" s="142"/>
      <c r="BF38" s="142"/>
      <c r="BG38" s="142"/>
      <c r="BH38" s="142"/>
      <c r="BI38" s="142"/>
      <c r="BJ38" s="144"/>
      <c r="BK38" s="144"/>
      <c r="BL38" s="144"/>
      <c r="BM38" s="144"/>
      <c r="BN38" s="144"/>
      <c r="BO38" s="144"/>
      <c r="BP38" s="144"/>
    </row>
    <row r="39" spans="1:399" ht="24" customHeight="1">
      <c r="AI39" s="145"/>
      <c r="AJ39" s="141"/>
      <c r="AK39" s="150"/>
      <c r="AL39" s="150"/>
      <c r="AM39" s="150"/>
      <c r="AN39" s="150"/>
      <c r="AO39" s="150"/>
      <c r="AP39" s="150"/>
      <c r="AQ39" s="150"/>
      <c r="AR39" s="141"/>
      <c r="AS39" s="141"/>
      <c r="AT39" s="141"/>
      <c r="AU39" s="141"/>
      <c r="AV39" s="144"/>
      <c r="AW39" s="144"/>
      <c r="AX39" s="144"/>
      <c r="AY39" s="144"/>
      <c r="AZ39" s="144"/>
      <c r="BA39" s="144"/>
      <c r="BB39" s="144"/>
      <c r="BC39" s="144"/>
      <c r="BD39" s="144"/>
      <c r="BE39" s="144"/>
      <c r="BF39" s="144"/>
      <c r="BG39" s="144"/>
      <c r="BH39" s="144"/>
      <c r="BI39" s="144"/>
      <c r="BJ39" s="144"/>
      <c r="BK39" s="144"/>
      <c r="BL39" s="144"/>
      <c r="BM39" s="144"/>
      <c r="BN39" s="144"/>
      <c r="BO39" s="144"/>
      <c r="BP39" s="144"/>
    </row>
    <row r="40" spans="1:399" ht="24" customHeight="1">
      <c r="A40" s="82" t="s">
        <v>220</v>
      </c>
      <c r="B40" s="133" t="s">
        <v>221</v>
      </c>
      <c r="C40" s="82"/>
      <c r="D40" s="82"/>
      <c r="E40" s="82"/>
      <c r="F40" s="82"/>
      <c r="G40" s="82"/>
      <c r="N40" s="302"/>
      <c r="O40" s="302"/>
      <c r="P40" s="302"/>
      <c r="Q40" s="302"/>
      <c r="R40" s="302"/>
      <c r="S40" s="302"/>
      <c r="T40" s="302"/>
      <c r="U40" s="302"/>
      <c r="V40" s="302"/>
      <c r="W40" s="302"/>
      <c r="X40" s="302"/>
      <c r="Y40" s="302"/>
      <c r="Z40" s="302"/>
      <c r="AA40" s="302"/>
      <c r="AB40" s="302"/>
      <c r="AC40" s="302"/>
      <c r="AI40" s="145"/>
      <c r="AJ40" s="141"/>
      <c r="AK40" s="141"/>
      <c r="AL40" s="141"/>
      <c r="AM40" s="141"/>
      <c r="AN40" s="141"/>
      <c r="AO40" s="141"/>
      <c r="AP40" s="141"/>
      <c r="AQ40" s="141"/>
      <c r="AR40" s="141"/>
      <c r="AS40" s="141"/>
      <c r="AT40" s="141"/>
      <c r="AU40" s="141"/>
      <c r="AV40" s="144"/>
      <c r="AW40" s="144"/>
      <c r="AX40" s="144"/>
      <c r="AY40" s="144"/>
      <c r="AZ40" s="144"/>
      <c r="BA40" s="144"/>
      <c r="BB40" s="144"/>
      <c r="BC40" s="144"/>
      <c r="BD40" s="144"/>
      <c r="BE40" s="144"/>
      <c r="BF40" s="144"/>
      <c r="BG40" s="144"/>
      <c r="BH40" s="144"/>
      <c r="BI40" s="144"/>
      <c r="BJ40" s="144"/>
      <c r="BK40" s="144"/>
      <c r="BL40" s="144"/>
      <c r="BM40" s="144"/>
      <c r="BN40" s="144"/>
      <c r="BO40" s="144"/>
      <c r="BP40" s="144"/>
    </row>
    <row r="41" spans="1:399" ht="24" customHeight="1">
      <c r="B41" s="133" t="s">
        <v>222</v>
      </c>
      <c r="L41" s="133"/>
      <c r="S41" s="123"/>
      <c r="AI41" s="146"/>
      <c r="AJ41" s="144"/>
      <c r="AK41" s="141"/>
      <c r="AL41" s="141"/>
      <c r="AM41" s="141"/>
      <c r="AN41" s="141"/>
      <c r="AO41" s="141"/>
      <c r="AP41" s="141"/>
      <c r="AQ41" s="141"/>
      <c r="AR41" s="144"/>
      <c r="AS41" s="144"/>
      <c r="AT41" s="144"/>
      <c r="AU41" s="144"/>
      <c r="AV41" s="144"/>
      <c r="AW41" s="144"/>
      <c r="AX41" s="144"/>
      <c r="AY41" s="144"/>
      <c r="AZ41" s="144"/>
      <c r="BA41" s="144"/>
      <c r="BB41" s="144"/>
      <c r="BC41" s="144"/>
      <c r="BD41" s="144"/>
      <c r="BE41" s="144"/>
      <c r="BF41" s="144"/>
      <c r="BG41" s="144"/>
      <c r="BH41" s="144"/>
      <c r="BI41" s="144"/>
      <c r="BJ41" s="144"/>
      <c r="BK41" s="144"/>
      <c r="BL41" s="144"/>
      <c r="BM41" s="144"/>
      <c r="BN41" s="144"/>
      <c r="BO41" s="144"/>
      <c r="BP41" s="144"/>
    </row>
    <row r="42" spans="1:399" ht="24" customHeight="1">
      <c r="B42" s="133" t="s">
        <v>223</v>
      </c>
      <c r="L42" s="133"/>
      <c r="V42" s="82" t="s">
        <v>224</v>
      </c>
      <c r="AI42" s="146"/>
      <c r="AJ42" s="144"/>
      <c r="AK42" s="144"/>
      <c r="AL42" s="144"/>
      <c r="AM42" s="144"/>
      <c r="AN42" s="144"/>
      <c r="AO42" s="144"/>
      <c r="AP42" s="144"/>
      <c r="AQ42" s="144"/>
      <c r="AR42" s="144"/>
      <c r="AS42" s="144"/>
      <c r="AT42" s="144"/>
      <c r="AU42" s="144"/>
      <c r="AV42" s="144"/>
      <c r="AW42" s="144"/>
      <c r="AX42" s="144"/>
      <c r="AY42" s="144"/>
      <c r="AZ42" s="144"/>
      <c r="BA42" s="144"/>
      <c r="BB42" s="144"/>
      <c r="BC42" s="144"/>
      <c r="BD42" s="144"/>
      <c r="BE42" s="144"/>
      <c r="BF42" s="144"/>
      <c r="BG42" s="144"/>
      <c r="BH42" s="144"/>
      <c r="BI42" s="144"/>
      <c r="BJ42" s="144"/>
      <c r="BK42" s="144"/>
      <c r="BL42" s="144"/>
      <c r="BM42" s="144"/>
      <c r="BN42" s="144"/>
      <c r="BO42" s="144"/>
      <c r="BP42" s="144"/>
    </row>
    <row r="43" spans="1:399" ht="24" customHeight="1">
      <c r="B43" s="133"/>
      <c r="L43" s="133"/>
      <c r="AI43" s="146"/>
      <c r="AJ43" s="144"/>
      <c r="AK43" s="144"/>
      <c r="AL43" s="144"/>
      <c r="AM43" s="144"/>
      <c r="AN43" s="144"/>
      <c r="AO43" s="144"/>
      <c r="AP43" s="144"/>
      <c r="AQ43" s="144"/>
      <c r="AR43" s="144"/>
      <c r="AS43" s="144"/>
      <c r="AT43" s="144"/>
      <c r="AU43" s="144"/>
      <c r="AV43" s="144"/>
      <c r="AW43" s="144"/>
      <c r="AX43" s="144"/>
      <c r="AY43" s="144"/>
      <c r="AZ43" s="144"/>
      <c r="BA43" s="144"/>
      <c r="BB43" s="144"/>
      <c r="BC43" s="144"/>
      <c r="BD43" s="144"/>
      <c r="BE43" s="144"/>
      <c r="BF43" s="144"/>
      <c r="BG43" s="144"/>
      <c r="BH43" s="144"/>
      <c r="BI43" s="144"/>
      <c r="BJ43" s="144"/>
      <c r="BK43" s="144"/>
      <c r="BL43" s="144"/>
      <c r="BM43" s="144"/>
      <c r="BN43" s="144"/>
      <c r="BO43" s="144"/>
      <c r="BP43" s="144"/>
    </row>
    <row r="44" spans="1:399" ht="24" customHeight="1">
      <c r="I44" s="134"/>
      <c r="J44" s="134"/>
      <c r="K44" s="134"/>
      <c r="L44" s="133"/>
      <c r="M44" s="134"/>
      <c r="N44" s="134"/>
      <c r="O44" s="134"/>
      <c r="P44" s="134"/>
      <c r="Q44" s="134"/>
      <c r="R44" s="134"/>
      <c r="S44" s="134"/>
      <c r="T44" s="134"/>
      <c r="U44" s="134"/>
      <c r="V44" s="134"/>
      <c r="W44" s="134"/>
      <c r="X44" s="134"/>
      <c r="Y44" s="134"/>
      <c r="Z44" s="134"/>
      <c r="AA44" s="134"/>
      <c r="AB44" s="134"/>
      <c r="AC44" s="134"/>
      <c r="AD44" s="134"/>
      <c r="AE44" s="134"/>
      <c r="AF44" s="134"/>
      <c r="AI44" s="147"/>
      <c r="AJ44" s="144"/>
      <c r="AK44" s="144"/>
      <c r="AL44" s="144"/>
      <c r="AM44" s="144"/>
      <c r="AN44" s="144"/>
      <c r="AO44" s="144"/>
      <c r="AP44" s="144"/>
      <c r="AQ44" s="144"/>
      <c r="AR44" s="144"/>
      <c r="AS44" s="144"/>
      <c r="AT44" s="144"/>
      <c r="AU44" s="144"/>
      <c r="AV44" s="144"/>
      <c r="AW44" s="144"/>
      <c r="AX44" s="144"/>
      <c r="AY44" s="144"/>
      <c r="AZ44" s="144"/>
      <c r="BA44" s="144"/>
      <c r="BB44" s="144"/>
      <c r="BC44" s="144"/>
      <c r="BD44" s="144"/>
      <c r="BE44" s="144"/>
      <c r="BF44" s="144"/>
      <c r="BG44" s="144"/>
      <c r="BH44" s="144"/>
      <c r="BI44" s="144"/>
      <c r="BJ44" s="144"/>
      <c r="BK44" s="144"/>
      <c r="BL44" s="144"/>
      <c r="BM44" s="144"/>
      <c r="BN44" s="144"/>
      <c r="BO44" s="144"/>
      <c r="BP44" s="144"/>
    </row>
    <row r="45" spans="1:399" ht="24" customHeight="1">
      <c r="L45" s="133"/>
      <c r="AI45" s="146"/>
      <c r="AJ45" s="144"/>
      <c r="AK45" s="144"/>
      <c r="AL45" s="144"/>
      <c r="AM45" s="144"/>
      <c r="AN45" s="144"/>
      <c r="AO45" s="144"/>
      <c r="AP45" s="144"/>
      <c r="AQ45" s="144"/>
      <c r="AR45" s="144"/>
      <c r="AS45" s="144"/>
      <c r="AT45" s="144"/>
      <c r="AU45" s="144"/>
      <c r="AV45" s="144"/>
      <c r="AW45" s="144"/>
      <c r="AX45" s="144"/>
      <c r="AY45" s="144"/>
      <c r="AZ45" s="144"/>
      <c r="BA45" s="144"/>
      <c r="BB45" s="144"/>
      <c r="BC45" s="144"/>
      <c r="BD45" s="144"/>
      <c r="BE45" s="144"/>
      <c r="BF45" s="144"/>
      <c r="BG45" s="144"/>
      <c r="BH45" s="144"/>
      <c r="BI45" s="144"/>
      <c r="BJ45" s="144"/>
      <c r="BK45" s="144"/>
      <c r="BL45" s="144"/>
      <c r="BM45" s="144"/>
      <c r="BN45" s="144"/>
      <c r="BO45" s="144"/>
      <c r="BP45" s="144"/>
    </row>
    <row r="46" spans="1:399" ht="24" customHeight="1">
      <c r="B46" s="133"/>
      <c r="AI46" s="146"/>
      <c r="AJ46" s="144"/>
      <c r="AK46" s="144"/>
      <c r="AL46" s="144"/>
      <c r="AM46" s="144"/>
      <c r="AN46" s="144"/>
      <c r="AO46" s="144"/>
      <c r="AP46" s="144"/>
      <c r="AQ46" s="144"/>
      <c r="AR46" s="144"/>
      <c r="AS46" s="144"/>
      <c r="AT46" s="144"/>
      <c r="AU46" s="144"/>
      <c r="AV46" s="144"/>
      <c r="AW46" s="144"/>
      <c r="AX46" s="144"/>
      <c r="AY46" s="144"/>
      <c r="AZ46" s="144"/>
      <c r="BA46" s="144"/>
      <c r="BB46" s="144"/>
      <c r="BC46" s="144"/>
      <c r="BD46" s="144"/>
      <c r="BE46" s="144"/>
      <c r="BF46" s="144"/>
      <c r="BG46" s="144"/>
      <c r="BH46" s="144"/>
      <c r="BI46" s="144"/>
      <c r="BJ46" s="144"/>
      <c r="BK46" s="144"/>
      <c r="BL46" s="144"/>
      <c r="BM46" s="144"/>
      <c r="BN46" s="144"/>
      <c r="BO46" s="144"/>
      <c r="BP46" s="144"/>
    </row>
    <row r="47" spans="1:399" ht="24" customHeight="1">
      <c r="AI47" s="146"/>
      <c r="AJ47" s="144"/>
      <c r="AK47" s="144"/>
      <c r="AL47" s="144"/>
      <c r="AM47" s="144"/>
      <c r="AN47" s="144"/>
      <c r="AO47" s="144"/>
      <c r="AP47" s="144"/>
      <c r="AQ47" s="144"/>
      <c r="AR47" s="144"/>
      <c r="AS47" s="144"/>
      <c r="AT47" s="144"/>
      <c r="AU47" s="144"/>
      <c r="AV47" s="144"/>
      <c r="AW47" s="144"/>
      <c r="AX47" s="144"/>
      <c r="AY47" s="144"/>
      <c r="AZ47" s="144"/>
      <c r="BA47" s="144"/>
      <c r="BB47" s="144"/>
      <c r="BC47" s="144"/>
      <c r="BD47" s="144"/>
      <c r="BE47" s="144"/>
      <c r="BF47" s="144"/>
      <c r="BG47" s="144"/>
      <c r="BH47" s="144"/>
      <c r="BI47" s="144"/>
      <c r="BJ47" s="144"/>
      <c r="BK47" s="144"/>
      <c r="BL47" s="144"/>
      <c r="BM47" s="144"/>
      <c r="BN47" s="144"/>
      <c r="BO47" s="144"/>
      <c r="BP47" s="144"/>
    </row>
    <row r="48" spans="1:399" ht="24" customHeight="1">
      <c r="AI48" s="146"/>
      <c r="AJ48" s="144"/>
      <c r="AK48" s="144"/>
      <c r="AL48" s="144"/>
      <c r="AM48" s="144"/>
      <c r="AN48" s="144"/>
      <c r="AO48" s="144"/>
      <c r="AP48" s="144"/>
      <c r="AQ48" s="144"/>
      <c r="AR48" s="144"/>
      <c r="AS48" s="144"/>
      <c r="AT48" s="144"/>
      <c r="AU48" s="144"/>
      <c r="AV48" s="144"/>
      <c r="AW48" s="144"/>
      <c r="AX48" s="144"/>
      <c r="AY48" s="144"/>
      <c r="AZ48" s="144"/>
      <c r="BA48" s="144"/>
      <c r="BB48" s="144"/>
      <c r="BC48" s="144"/>
      <c r="BD48" s="144"/>
      <c r="BE48" s="144"/>
      <c r="BF48" s="144"/>
      <c r="BG48" s="144"/>
      <c r="BH48" s="144"/>
      <c r="BI48" s="144"/>
      <c r="BJ48" s="144"/>
      <c r="BK48" s="144"/>
      <c r="BL48" s="144"/>
      <c r="BM48" s="144"/>
      <c r="BN48" s="144"/>
      <c r="BO48" s="144"/>
      <c r="BP48" s="144"/>
    </row>
    <row r="49" spans="9:68" ht="24" customHeight="1">
      <c r="AI49" s="146"/>
      <c r="AJ49" s="144"/>
      <c r="AK49" s="144"/>
      <c r="AL49" s="144"/>
      <c r="AM49" s="144"/>
      <c r="AN49" s="144"/>
      <c r="AO49" s="144"/>
      <c r="AP49" s="144"/>
      <c r="AQ49" s="144"/>
      <c r="AR49" s="144"/>
      <c r="AS49" s="144"/>
      <c r="AT49" s="144"/>
      <c r="AU49" s="144"/>
      <c r="AV49" s="144"/>
      <c r="AW49" s="144"/>
      <c r="AX49" s="144"/>
      <c r="AY49" s="144"/>
      <c r="AZ49" s="144"/>
      <c r="BA49" s="144"/>
      <c r="BB49" s="144"/>
      <c r="BC49" s="144"/>
      <c r="BD49" s="144"/>
      <c r="BE49" s="144"/>
      <c r="BF49" s="144"/>
      <c r="BG49" s="144"/>
      <c r="BH49" s="144"/>
      <c r="BI49" s="144"/>
      <c r="BJ49" s="144"/>
      <c r="BK49" s="144"/>
      <c r="BL49" s="144"/>
      <c r="BM49" s="144"/>
      <c r="BN49" s="144"/>
      <c r="BO49" s="144"/>
      <c r="BP49" s="144"/>
    </row>
    <row r="50" spans="9:68" ht="24" customHeight="1">
      <c r="R50" s="82" t="s">
        <v>201</v>
      </c>
      <c r="AI50" s="146"/>
      <c r="AJ50" s="144"/>
      <c r="AK50" s="144"/>
      <c r="AL50" s="144"/>
      <c r="AM50" s="144"/>
      <c r="AN50" s="144"/>
      <c r="AO50" s="144"/>
      <c r="AP50" s="144"/>
      <c r="AQ50" s="144"/>
      <c r="AR50" s="144"/>
      <c r="AS50" s="144"/>
      <c r="AT50" s="144"/>
      <c r="AU50" s="144"/>
      <c r="AV50" s="144"/>
      <c r="AW50" s="144"/>
      <c r="AX50" s="144"/>
      <c r="AY50" s="144"/>
      <c r="AZ50" s="144"/>
      <c r="BA50" s="144"/>
      <c r="BB50" s="144"/>
      <c r="BC50" s="144"/>
      <c r="BD50" s="144"/>
      <c r="BE50" s="144"/>
      <c r="BF50" s="144"/>
      <c r="BG50" s="144"/>
      <c r="BH50" s="144"/>
      <c r="BI50" s="144"/>
      <c r="BJ50" s="144"/>
      <c r="BK50" s="144"/>
      <c r="BL50" s="144"/>
      <c r="BM50" s="144"/>
      <c r="BN50" s="144"/>
      <c r="BO50" s="144"/>
      <c r="BP50" s="144"/>
    </row>
    <row r="51" spans="9:68" ht="24" customHeight="1">
      <c r="AI51" s="146"/>
      <c r="AJ51" s="144"/>
      <c r="AK51" s="144"/>
      <c r="AL51" s="144"/>
      <c r="AM51" s="144"/>
      <c r="AN51" s="144"/>
      <c r="AO51" s="144"/>
      <c r="AP51" s="144"/>
      <c r="AQ51" s="144"/>
      <c r="AR51" s="144"/>
      <c r="AS51" s="144"/>
      <c r="AT51" s="144"/>
      <c r="AU51" s="144"/>
      <c r="AV51" s="144"/>
      <c r="AW51" s="144"/>
      <c r="AX51" s="144"/>
      <c r="AY51" s="144"/>
      <c r="AZ51" s="144"/>
      <c r="BA51" s="144"/>
      <c r="BB51" s="144"/>
      <c r="BC51" s="144"/>
      <c r="BD51" s="144"/>
      <c r="BE51" s="144"/>
      <c r="BF51" s="144"/>
      <c r="BG51" s="144"/>
      <c r="BH51" s="144"/>
      <c r="BI51" s="144"/>
      <c r="BJ51" s="144"/>
      <c r="BK51" s="144"/>
      <c r="BL51" s="144"/>
      <c r="BM51" s="144"/>
      <c r="BN51" s="144"/>
      <c r="BO51" s="144"/>
      <c r="BP51" s="144"/>
    </row>
    <row r="52" spans="9:68" ht="24" customHeight="1">
      <c r="I52" s="108"/>
      <c r="J52" s="108"/>
      <c r="K52" s="108"/>
      <c r="L52" s="108"/>
      <c r="M52" s="108"/>
      <c r="N52" s="108"/>
      <c r="AI52" s="146"/>
      <c r="AJ52" s="144"/>
      <c r="AK52" s="144"/>
      <c r="AL52" s="144"/>
      <c r="AM52" s="144"/>
      <c r="AN52" s="144"/>
      <c r="AO52" s="144"/>
      <c r="AP52" s="144"/>
      <c r="AQ52" s="144"/>
      <c r="AR52" s="144"/>
      <c r="AS52" s="144"/>
      <c r="AT52" s="144"/>
      <c r="AU52" s="144"/>
      <c r="AV52" s="144"/>
      <c r="AW52" s="144"/>
      <c r="AX52" s="144"/>
      <c r="AY52" s="144"/>
      <c r="AZ52" s="144"/>
      <c r="BA52" s="144"/>
      <c r="BB52" s="144"/>
      <c r="BC52" s="144"/>
      <c r="BD52" s="144"/>
      <c r="BE52" s="144"/>
      <c r="BF52" s="144"/>
      <c r="BG52" s="144"/>
      <c r="BH52" s="144"/>
      <c r="BI52" s="144"/>
      <c r="BJ52" s="144"/>
      <c r="BK52" s="144"/>
      <c r="BL52" s="144"/>
      <c r="BM52" s="144"/>
      <c r="BN52" s="144"/>
      <c r="BO52" s="144"/>
      <c r="BP52" s="144"/>
    </row>
    <row r="53" spans="9:68" ht="24" customHeight="1">
      <c r="I53" s="108"/>
      <c r="J53" s="108"/>
      <c r="K53" s="108"/>
      <c r="L53" s="108"/>
      <c r="M53" s="108"/>
      <c r="N53" s="108"/>
      <c r="AI53" s="146"/>
      <c r="AJ53" s="144"/>
      <c r="AK53" s="144"/>
      <c r="AL53" s="144"/>
      <c r="AM53" s="144"/>
      <c r="AN53" s="144"/>
      <c r="AO53" s="144"/>
      <c r="AP53" s="144"/>
      <c r="AQ53" s="144"/>
      <c r="AR53" s="144"/>
      <c r="AS53" s="144"/>
      <c r="AT53" s="144"/>
      <c r="AU53" s="144"/>
      <c r="AV53" s="144"/>
      <c r="AW53" s="144"/>
      <c r="AX53" s="144"/>
      <c r="AY53" s="144"/>
      <c r="AZ53" s="144"/>
      <c r="BA53" s="144"/>
      <c r="BB53" s="144"/>
      <c r="BC53" s="144"/>
      <c r="BD53" s="144"/>
      <c r="BE53" s="144"/>
      <c r="BF53" s="144"/>
      <c r="BG53" s="144"/>
      <c r="BH53" s="144"/>
      <c r="BI53" s="144"/>
      <c r="BJ53" s="144"/>
      <c r="BK53" s="144"/>
      <c r="BL53" s="144"/>
      <c r="BM53" s="144"/>
      <c r="BN53" s="144"/>
      <c r="BO53" s="144"/>
      <c r="BP53" s="144"/>
    </row>
    <row r="54" spans="9:68" ht="24" customHeight="1">
      <c r="I54" s="108"/>
      <c r="J54" s="108"/>
      <c r="K54" s="108"/>
      <c r="L54" s="108"/>
      <c r="M54" s="108"/>
      <c r="N54" s="108"/>
      <c r="AI54" s="146"/>
      <c r="AJ54" s="144"/>
      <c r="AK54" s="144"/>
      <c r="AL54" s="144"/>
      <c r="AM54" s="144"/>
      <c r="AN54" s="144"/>
      <c r="AO54" s="144"/>
      <c r="AP54" s="144"/>
      <c r="AQ54" s="144"/>
      <c r="AR54" s="144"/>
      <c r="AS54" s="144"/>
      <c r="AT54" s="144"/>
      <c r="AU54" s="144"/>
      <c r="AV54" s="144"/>
      <c r="AW54" s="144"/>
      <c r="AX54" s="144"/>
      <c r="AY54" s="144"/>
      <c r="AZ54" s="144"/>
      <c r="BA54" s="144"/>
      <c r="BB54" s="144"/>
      <c r="BC54" s="144"/>
      <c r="BD54" s="144"/>
      <c r="BE54" s="144"/>
      <c r="BF54" s="144"/>
      <c r="BG54" s="144"/>
      <c r="BH54" s="144"/>
      <c r="BI54" s="144"/>
      <c r="BJ54" s="144"/>
      <c r="BK54" s="144"/>
      <c r="BL54" s="144"/>
      <c r="BM54" s="144"/>
      <c r="BN54" s="144"/>
      <c r="BO54" s="144"/>
      <c r="BP54" s="144"/>
    </row>
    <row r="55" spans="9:68" ht="24" customHeight="1">
      <c r="I55" s="108"/>
      <c r="J55" s="108"/>
      <c r="K55" s="108"/>
      <c r="L55" s="108"/>
      <c r="M55" s="108"/>
      <c r="N55" s="108"/>
      <c r="AI55" s="146"/>
      <c r="AJ55" s="144"/>
      <c r="AK55" s="144"/>
      <c r="AL55" s="144"/>
      <c r="AM55" s="144"/>
      <c r="AN55" s="144"/>
      <c r="AO55" s="144"/>
      <c r="AP55" s="144"/>
      <c r="AQ55" s="144"/>
      <c r="AR55" s="144"/>
      <c r="AS55" s="144"/>
      <c r="AT55" s="144"/>
      <c r="AU55" s="144"/>
      <c r="AV55" s="144"/>
      <c r="AW55" s="144"/>
      <c r="AX55" s="144"/>
      <c r="AY55" s="144"/>
      <c r="AZ55" s="144"/>
      <c r="BA55" s="144"/>
      <c r="BB55" s="144"/>
      <c r="BC55" s="144"/>
      <c r="BD55" s="144"/>
      <c r="BE55" s="144"/>
      <c r="BF55" s="144"/>
      <c r="BG55" s="144"/>
      <c r="BH55" s="144"/>
      <c r="BI55" s="144"/>
      <c r="BJ55" s="144"/>
      <c r="BK55" s="144"/>
      <c r="BL55" s="144"/>
      <c r="BM55" s="144"/>
      <c r="BN55" s="144"/>
      <c r="BO55" s="144"/>
      <c r="BP55" s="144"/>
    </row>
    <row r="56" spans="9:68" ht="24" customHeight="1">
      <c r="I56" s="108"/>
      <c r="J56" s="108"/>
      <c r="K56" s="108"/>
      <c r="L56" s="108"/>
      <c r="M56" s="108"/>
      <c r="N56" s="108"/>
      <c r="AI56" s="148"/>
      <c r="AK56" s="144"/>
      <c r="AL56" s="144"/>
      <c r="AM56" s="144"/>
      <c r="AN56" s="144"/>
      <c r="AO56" s="144"/>
      <c r="AP56" s="144"/>
      <c r="AQ56" s="144"/>
    </row>
    <row r="57" spans="9:68" ht="24" customHeight="1">
      <c r="I57" s="108"/>
      <c r="J57" s="108"/>
      <c r="K57" s="108"/>
      <c r="L57" s="108"/>
      <c r="M57" s="108"/>
      <c r="N57" s="108"/>
      <c r="AI57" s="148"/>
    </row>
    <row r="58" spans="9:68" ht="24" customHeight="1">
      <c r="I58" s="108"/>
      <c r="J58" s="108"/>
      <c r="K58" s="108"/>
      <c r="L58" s="108"/>
      <c r="M58" s="108"/>
      <c r="N58" s="108"/>
      <c r="AI58" s="148"/>
    </row>
    <row r="59" spans="9:68" ht="24" customHeight="1">
      <c r="I59" s="108"/>
      <c r="J59" s="108"/>
      <c r="K59" s="108"/>
      <c r="L59" s="108"/>
      <c r="M59" s="108"/>
      <c r="N59" s="108"/>
      <c r="AI59" s="148"/>
    </row>
    <row r="60" spans="9:68" ht="24" customHeight="1">
      <c r="I60" s="108"/>
      <c r="J60" s="108"/>
      <c r="K60" s="108"/>
      <c r="L60" s="108"/>
      <c r="M60" s="108"/>
      <c r="N60" s="108"/>
    </row>
    <row r="61" spans="9:68" ht="24" customHeight="1">
      <c r="I61" s="108"/>
      <c r="J61" s="108"/>
      <c r="K61" s="108"/>
      <c r="L61" s="108"/>
      <c r="M61" s="108"/>
      <c r="N61" s="108"/>
    </row>
    <row r="62" spans="9:68" ht="24" customHeight="1">
      <c r="I62" s="108"/>
      <c r="J62" s="108"/>
      <c r="K62" s="108"/>
      <c r="L62" s="108"/>
      <c r="M62" s="108"/>
      <c r="N62" s="108"/>
    </row>
    <row r="63" spans="9:68" ht="24" customHeight="1">
      <c r="I63" s="108"/>
      <c r="J63" s="108"/>
      <c r="K63" s="108"/>
      <c r="L63" s="108"/>
      <c r="M63" s="108"/>
      <c r="N63" s="108"/>
    </row>
    <row r="64" spans="9:68" ht="24" customHeight="1">
      <c r="I64" s="108"/>
      <c r="J64" s="108"/>
      <c r="K64" s="108"/>
      <c r="L64" s="108"/>
      <c r="M64" s="108"/>
      <c r="N64" s="108"/>
    </row>
    <row r="65" spans="9:14" ht="24" customHeight="1">
      <c r="I65" s="108"/>
      <c r="J65" s="108"/>
      <c r="K65" s="108"/>
      <c r="L65" s="108"/>
      <c r="M65" s="108"/>
      <c r="N65" s="108"/>
    </row>
    <row r="66" spans="9:14" ht="24" customHeight="1">
      <c r="I66" s="108"/>
      <c r="J66" s="108"/>
      <c r="K66" s="108"/>
      <c r="L66" s="108"/>
      <c r="M66" s="108"/>
      <c r="N66" s="108"/>
    </row>
    <row r="67" spans="9:14" ht="24" customHeight="1">
      <c r="I67" s="108"/>
      <c r="J67" s="108"/>
      <c r="K67" s="108"/>
      <c r="L67" s="108"/>
      <c r="M67" s="108"/>
      <c r="N67" s="108"/>
    </row>
    <row r="68" spans="9:14" ht="24" customHeight="1">
      <c r="I68" s="108"/>
      <c r="J68" s="108"/>
      <c r="K68" s="108"/>
      <c r="L68" s="108"/>
      <c r="M68" s="108"/>
      <c r="N68" s="108"/>
    </row>
    <row r="69" spans="9:14" ht="24" customHeight="1">
      <c r="I69" s="108"/>
      <c r="J69" s="108"/>
      <c r="K69" s="108"/>
      <c r="L69" s="108"/>
      <c r="M69" s="108"/>
      <c r="N69" s="108"/>
    </row>
    <row r="70" spans="9:14" ht="24" customHeight="1">
      <c r="I70" s="108"/>
      <c r="J70" s="108"/>
      <c r="K70" s="108"/>
      <c r="L70" s="108"/>
      <c r="M70" s="108"/>
      <c r="N70" s="108"/>
    </row>
    <row r="71" spans="9:14" ht="24" customHeight="1">
      <c r="I71" s="108"/>
      <c r="J71" s="108"/>
      <c r="K71" s="108"/>
      <c r="L71" s="108"/>
      <c r="M71" s="108"/>
      <c r="N71" s="108"/>
    </row>
    <row r="72" spans="9:14" ht="24" customHeight="1">
      <c r="I72" s="108"/>
      <c r="J72" s="108"/>
      <c r="K72" s="108"/>
      <c r="L72" s="108"/>
      <c r="M72" s="108"/>
      <c r="N72" s="108"/>
    </row>
    <row r="73" spans="9:14" ht="24" customHeight="1">
      <c r="I73" s="108"/>
      <c r="J73" s="108"/>
      <c r="K73" s="108"/>
      <c r="L73" s="108"/>
      <c r="M73" s="108"/>
      <c r="N73" s="108"/>
    </row>
    <row r="74" spans="9:14" ht="24" customHeight="1">
      <c r="I74" s="108"/>
      <c r="J74" s="108"/>
      <c r="K74" s="108"/>
      <c r="L74" s="108"/>
      <c r="M74" s="108"/>
      <c r="N74" s="108"/>
    </row>
    <row r="75" spans="9:14" ht="24" customHeight="1">
      <c r="I75" s="108"/>
      <c r="J75" s="108"/>
      <c r="K75" s="108"/>
      <c r="L75" s="108"/>
      <c r="M75" s="108"/>
      <c r="N75" s="108"/>
    </row>
    <row r="76" spans="9:14" ht="24" customHeight="1">
      <c r="I76" s="108"/>
      <c r="J76" s="108"/>
      <c r="K76" s="108"/>
      <c r="L76" s="108"/>
      <c r="M76" s="108"/>
      <c r="N76" s="108"/>
    </row>
  </sheetData>
  <pageMargins left="0.7" right="0.7" top="0.75" bottom="0.75" header="0.3" footer="0.3"/>
  <pageSetup paperSize="9" scale="4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AF76"/>
  <sheetViews>
    <sheetView zoomScaleNormal="100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F2" sqref="F2"/>
    </sheetView>
  </sheetViews>
  <sheetFormatPr baseColWidth="10" defaultColWidth="10.6640625" defaultRowHeight="19" outlineLevelCol="1"/>
  <cols>
    <col min="1" max="1" width="41" style="7" customWidth="1"/>
    <col min="2" max="2" width="24.33203125" style="7" customWidth="1" outlineLevel="1"/>
    <col min="3" max="3" width="22.5" style="7" customWidth="1" outlineLevel="1"/>
    <col min="4" max="4" width="19" style="7" customWidth="1" outlineLevel="1"/>
    <col min="5" max="5" width="17.1640625" style="7" customWidth="1" outlineLevel="1"/>
    <col min="6" max="6" width="18.5" style="7" customWidth="1" outlineLevel="1"/>
    <col min="7" max="7" width="16.5" style="7" customWidth="1" outlineLevel="1"/>
    <col min="8" max="10" width="17.1640625" style="4" customWidth="1" outlineLevel="1"/>
    <col min="11" max="11" width="19" style="4" customWidth="1" outlineLevel="1"/>
    <col min="12" max="12" width="19.1640625" style="4" customWidth="1" outlineLevel="1"/>
    <col min="13" max="13" width="20.6640625" style="4" customWidth="1" outlineLevel="1"/>
    <col min="14" max="14" width="19.6640625" style="4" customWidth="1" outlineLevel="1"/>
    <col min="15" max="15" width="19" style="4" customWidth="1" outlineLevel="1"/>
    <col min="16" max="16" width="18.5" style="4" customWidth="1" outlineLevel="1"/>
    <col min="17" max="26" width="18.83203125" style="4" customWidth="1" outlineLevel="1"/>
    <col min="27" max="29" width="18.83203125" style="4" customWidth="1"/>
    <col min="30" max="30" width="21.83203125" style="4" customWidth="1"/>
    <col min="31" max="31" width="19.83203125" style="4" customWidth="1"/>
    <col min="32" max="40" width="10.6640625" style="4" customWidth="1"/>
    <col min="41" max="16384" width="10.6640625" style="4"/>
  </cols>
  <sheetData>
    <row r="2" spans="1:31" ht="70.25" customHeight="1">
      <c r="A2" s="80" t="s">
        <v>124</v>
      </c>
      <c r="B2" s="34"/>
      <c r="C2" s="34"/>
      <c r="D2" s="34"/>
      <c r="E2" s="34"/>
      <c r="F2" s="34"/>
      <c r="G2" s="34"/>
    </row>
    <row r="3" spans="1:31" ht="20" customHeight="1" thickBot="1"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 spans="1:31" s="6" customFormat="1" ht="21" customHeight="1" thickBot="1">
      <c r="A4" s="17" t="s">
        <v>126</v>
      </c>
      <c r="B4" s="68">
        <v>45352</v>
      </c>
      <c r="C4" s="68">
        <v>45383</v>
      </c>
      <c r="D4" s="68">
        <v>45413</v>
      </c>
      <c r="E4" s="68">
        <v>45444</v>
      </c>
      <c r="F4" s="68">
        <v>45474</v>
      </c>
      <c r="G4" s="68">
        <v>45505</v>
      </c>
      <c r="H4" s="68">
        <v>45536</v>
      </c>
      <c r="I4" s="68">
        <v>45566</v>
      </c>
      <c r="J4" s="68">
        <v>45597</v>
      </c>
      <c r="K4" s="68">
        <v>45627</v>
      </c>
      <c r="L4" s="68">
        <v>45658</v>
      </c>
      <c r="M4" s="68">
        <v>45689</v>
      </c>
      <c r="N4" s="68">
        <v>45717</v>
      </c>
      <c r="O4" s="68">
        <v>45748</v>
      </c>
      <c r="P4" s="68">
        <v>45778</v>
      </c>
      <c r="Q4" s="68">
        <v>45809</v>
      </c>
      <c r="R4" s="68">
        <v>45839</v>
      </c>
      <c r="S4" s="68">
        <v>45870</v>
      </c>
      <c r="T4" s="68">
        <v>45901</v>
      </c>
      <c r="U4" s="68">
        <v>45931</v>
      </c>
      <c r="V4" s="68">
        <v>45962</v>
      </c>
      <c r="W4" s="68">
        <v>45992</v>
      </c>
      <c r="X4" s="68">
        <v>46023</v>
      </c>
      <c r="Y4" s="68">
        <v>46054</v>
      </c>
      <c r="Z4" s="68">
        <v>46082</v>
      </c>
      <c r="AA4" s="68">
        <v>46113</v>
      </c>
      <c r="AB4" s="68">
        <v>46143</v>
      </c>
      <c r="AC4" s="68">
        <v>46174</v>
      </c>
      <c r="AD4" s="18" t="s">
        <v>147</v>
      </c>
      <c r="AE4" s="73"/>
    </row>
    <row r="5" spans="1:31" s="5" customFormat="1">
      <c r="A5" s="15"/>
      <c r="B5" s="59"/>
      <c r="C5" s="59"/>
      <c r="D5" s="59"/>
      <c r="E5" s="59"/>
      <c r="F5" s="59"/>
      <c r="G5" s="59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38"/>
      <c r="AB5" s="38"/>
      <c r="AC5" s="38"/>
      <c r="AD5" s="16"/>
    </row>
    <row r="6" spans="1:31" ht="20" customHeight="1">
      <c r="A6" s="13" t="s">
        <v>151</v>
      </c>
      <c r="B6" s="61"/>
      <c r="C6" s="61">
        <f t="shared" ref="C6:AC6" si="0">B38</f>
        <v>1355000</v>
      </c>
      <c r="D6" s="61">
        <f t="shared" si="0"/>
        <v>-482500</v>
      </c>
      <c r="E6" s="61">
        <f t="shared" si="0"/>
        <v>3317500</v>
      </c>
      <c r="F6" s="61">
        <f t="shared" si="0"/>
        <v>-1363000</v>
      </c>
      <c r="G6" s="61">
        <f t="shared" si="0"/>
        <v>1702974</v>
      </c>
      <c r="H6" s="61">
        <f t="shared" si="0"/>
        <v>4852882.24</v>
      </c>
      <c r="I6" s="61">
        <f t="shared" si="0"/>
        <v>2450702.4800000004</v>
      </c>
      <c r="J6" s="61">
        <f t="shared" si="0"/>
        <v>435361.90000000037</v>
      </c>
      <c r="K6" s="61">
        <f t="shared" si="0"/>
        <v>656879.02000000048</v>
      </c>
      <c r="L6" s="61">
        <f t="shared" si="0"/>
        <v>-5511675.9299999988</v>
      </c>
      <c r="M6" s="61">
        <f t="shared" si="0"/>
        <v>-5977933.8299999973</v>
      </c>
      <c r="N6" s="61">
        <f t="shared" si="0"/>
        <v>17001184.470000003</v>
      </c>
      <c r="O6" s="61">
        <f t="shared" si="0"/>
        <v>13625284.690000003</v>
      </c>
      <c r="P6" s="61">
        <f t="shared" si="0"/>
        <v>8738511.5300000031</v>
      </c>
      <c r="Q6" s="61">
        <f t="shared" si="0"/>
        <v>4987434.0400000028</v>
      </c>
      <c r="R6" s="61">
        <f t="shared" si="0"/>
        <v>742486.25000000303</v>
      </c>
      <c r="S6" s="61">
        <f t="shared" si="0"/>
        <v>6909341.870000002</v>
      </c>
      <c r="T6" s="61">
        <f t="shared" si="0"/>
        <v>2066194.4800000018</v>
      </c>
      <c r="U6" s="61">
        <f t="shared" si="0"/>
        <v>2053300.5000000028</v>
      </c>
      <c r="V6" s="61">
        <f t="shared" si="0"/>
        <v>1279962.7416000026</v>
      </c>
      <c r="W6" s="61">
        <f t="shared" si="0"/>
        <v>270211.56260000262</v>
      </c>
      <c r="X6" s="61">
        <f t="shared" si="0"/>
        <v>2569129.5626000026</v>
      </c>
      <c r="Y6" s="61">
        <f t="shared" si="0"/>
        <v>1778726.1626000027</v>
      </c>
      <c r="Z6" s="61">
        <f t="shared" si="0"/>
        <v>265892.16260000318</v>
      </c>
      <c r="AA6" s="8">
        <f t="shared" si="0"/>
        <v>224410.6826000032</v>
      </c>
      <c r="AB6" s="8">
        <f t="shared" si="0"/>
        <v>-299589.3173999968</v>
      </c>
      <c r="AC6" s="8">
        <f t="shared" si="0"/>
        <v>320410.6826000032</v>
      </c>
      <c r="AD6" s="10"/>
    </row>
    <row r="7" spans="1:31" ht="20" customHeight="1" thickBot="1">
      <c r="A7" s="19"/>
      <c r="B7" s="62"/>
      <c r="C7" s="62"/>
      <c r="D7" s="62"/>
      <c r="E7" s="62"/>
      <c r="F7" s="62"/>
      <c r="G7" s="62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39"/>
      <c r="AB7" s="39"/>
      <c r="AC7" s="39"/>
      <c r="AD7" s="20"/>
    </row>
    <row r="8" spans="1:31" s="6" customFormat="1" ht="20" customHeight="1">
      <c r="A8" s="12" t="s">
        <v>155</v>
      </c>
      <c r="B8" s="54"/>
      <c r="C8" s="54"/>
      <c r="D8" s="54"/>
      <c r="E8" s="54"/>
      <c r="F8" s="54"/>
      <c r="G8" s="54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0"/>
      <c r="U8" s="40"/>
      <c r="V8" s="40"/>
      <c r="W8" s="40"/>
      <c r="X8" s="40"/>
      <c r="Y8" s="40"/>
      <c r="Z8" s="40"/>
      <c r="AA8" s="40"/>
      <c r="AB8" s="40"/>
      <c r="AC8" s="40"/>
      <c r="AD8" s="21"/>
    </row>
    <row r="9" spans="1:31" ht="20" customHeight="1">
      <c r="A9" s="13" t="s">
        <v>159</v>
      </c>
      <c r="B9" s="61">
        <v>-6025000</v>
      </c>
      <c r="C9" s="61">
        <v>-2447500</v>
      </c>
      <c r="D9" s="61">
        <v>0</v>
      </c>
      <c r="E9" s="61">
        <v>-5625500</v>
      </c>
      <c r="F9" s="61">
        <v>-5801526</v>
      </c>
      <c r="G9" s="61"/>
      <c r="H9" s="61">
        <v>-4129588</v>
      </c>
      <c r="I9" s="61">
        <v>-1070089</v>
      </c>
      <c r="J9" s="61">
        <v>-1557241</v>
      </c>
      <c r="K9" s="61">
        <v>-3356909</v>
      </c>
      <c r="L9" s="61">
        <v>-2515021</v>
      </c>
      <c r="M9" s="61">
        <v>-2137684</v>
      </c>
      <c r="N9" s="61">
        <v>-1170136</v>
      </c>
      <c r="O9" s="61">
        <v>-2195244</v>
      </c>
      <c r="P9" s="61">
        <v>-1344630</v>
      </c>
      <c r="Q9" s="61">
        <v>-1051978</v>
      </c>
      <c r="R9" s="61">
        <v>-1733414</v>
      </c>
      <c r="S9" s="61">
        <v>-1693227</v>
      </c>
      <c r="T9" s="61">
        <f>-3090934+1550000</f>
        <v>-1540934</v>
      </c>
      <c r="U9" s="61">
        <v>-435140.62</v>
      </c>
      <c r="V9" s="61">
        <v>-1806961</v>
      </c>
      <c r="W9" s="61"/>
      <c r="X9" s="61"/>
      <c r="Y9" s="61"/>
      <c r="Z9" s="61"/>
      <c r="AA9" s="8"/>
      <c r="AB9" s="8"/>
      <c r="AC9" s="76"/>
      <c r="AD9" s="11">
        <f>SUM(Z9)</f>
        <v>0</v>
      </c>
    </row>
    <row r="10" spans="1:31" ht="20" customHeight="1">
      <c r="A10" s="13" t="s">
        <v>162</v>
      </c>
      <c r="B10" s="56"/>
      <c r="C10" s="56"/>
      <c r="D10" s="56"/>
      <c r="E10" s="56"/>
      <c r="F10" s="56"/>
      <c r="G10" s="56"/>
      <c r="H10" s="61"/>
      <c r="I10" s="61"/>
      <c r="J10" s="61">
        <v>-300000</v>
      </c>
      <c r="K10" s="61">
        <v>-221437</v>
      </c>
      <c r="L10" s="61">
        <f>-1423808+600000</f>
        <v>-823808</v>
      </c>
      <c r="M10" s="61">
        <f>-251462-600000</f>
        <v>-851462</v>
      </c>
      <c r="N10" s="61">
        <v>-450935</v>
      </c>
      <c r="O10" s="61">
        <v>-1076933</v>
      </c>
      <c r="P10" s="61">
        <v>-610739</v>
      </c>
      <c r="Q10" s="61">
        <v>-1192113</v>
      </c>
      <c r="R10" s="61">
        <v>-934072</v>
      </c>
      <c r="S10" s="61">
        <v>-1069427</v>
      </c>
      <c r="T10" s="61">
        <v>-1111918</v>
      </c>
      <c r="U10" s="61">
        <v>-575996.4</v>
      </c>
      <c r="V10" s="61">
        <v>-328000</v>
      </c>
      <c r="W10" s="61"/>
      <c r="X10" s="61"/>
      <c r="Y10" s="61"/>
      <c r="Z10" s="61"/>
      <c r="AA10" s="8"/>
      <c r="AB10" s="8"/>
      <c r="AC10" s="76"/>
      <c r="AD10" s="11">
        <f>SUM(Z10)</f>
        <v>0</v>
      </c>
    </row>
    <row r="11" spans="1:31" ht="20" customHeight="1">
      <c r="A11" s="13" t="s">
        <v>166</v>
      </c>
      <c r="B11" s="56"/>
      <c r="C11" s="56"/>
      <c r="D11" s="56"/>
      <c r="E11" s="56"/>
      <c r="F11" s="56"/>
      <c r="G11" s="56"/>
      <c r="H11" s="61"/>
      <c r="I11" s="61">
        <v>-1116499</v>
      </c>
      <c r="J11" s="61">
        <v>-1230237</v>
      </c>
      <c r="K11" s="61">
        <v>-1507803</v>
      </c>
      <c r="L11" s="61">
        <v>-1638885</v>
      </c>
      <c r="M11" s="61">
        <v>-1211618</v>
      </c>
      <c r="N11" s="61">
        <v>-1044657</v>
      </c>
      <c r="O11" s="61">
        <v>-886555</v>
      </c>
      <c r="P11" s="61">
        <v>-814962</v>
      </c>
      <c r="Q11" s="61">
        <v>-898260</v>
      </c>
      <c r="R11" s="61">
        <v>-1104626</v>
      </c>
      <c r="S11" s="61">
        <v>-767953</v>
      </c>
      <c r="T11" s="61">
        <v>-883132</v>
      </c>
      <c r="U11" s="61">
        <v>-179797</v>
      </c>
      <c r="V11" s="61">
        <v>-100000</v>
      </c>
      <c r="W11" s="61"/>
      <c r="X11" s="61"/>
      <c r="Y11" s="61"/>
      <c r="Z11" s="61"/>
      <c r="AA11" s="8"/>
      <c r="AB11" s="8"/>
      <c r="AC11" s="76"/>
      <c r="AD11" s="11">
        <f>SUM(Z11)</f>
        <v>0</v>
      </c>
    </row>
    <row r="12" spans="1:31" ht="20" customHeight="1">
      <c r="A12" s="13" t="s">
        <v>169</v>
      </c>
      <c r="B12" s="56"/>
      <c r="C12" s="56"/>
      <c r="D12" s="56"/>
      <c r="E12" s="56"/>
      <c r="F12" s="56"/>
      <c r="G12" s="56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>
        <v>2330000</v>
      </c>
      <c r="W12" s="61"/>
      <c r="X12" s="61"/>
      <c r="Y12" s="61"/>
      <c r="Z12" s="61"/>
      <c r="AA12" s="8"/>
      <c r="AB12" s="8"/>
      <c r="AC12" s="76"/>
      <c r="AD12" s="11">
        <f>SUM(Z12:AC12)</f>
        <v>0</v>
      </c>
    </row>
    <row r="13" spans="1:31" ht="20" customHeight="1">
      <c r="A13" s="13" t="s">
        <v>173</v>
      </c>
      <c r="B13" s="56"/>
      <c r="C13" s="56"/>
      <c r="D13" s="56"/>
      <c r="E13" s="56"/>
      <c r="F13" s="56"/>
      <c r="G13" s="56"/>
      <c r="H13" s="61"/>
      <c r="I13" s="61">
        <v>-398466</v>
      </c>
      <c r="J13" s="61">
        <v>-398466</v>
      </c>
      <c r="K13" s="61">
        <v>-398466</v>
      </c>
      <c r="L13" s="61">
        <v>-398466</v>
      </c>
      <c r="M13" s="61">
        <v>-398466</v>
      </c>
      <c r="N13" s="61">
        <v>-398466</v>
      </c>
      <c r="O13" s="61">
        <v>-398466</v>
      </c>
      <c r="P13" s="61">
        <v>-398466</v>
      </c>
      <c r="Q13" s="61">
        <v>-398466</v>
      </c>
      <c r="R13" s="61">
        <v>-132822</v>
      </c>
      <c r="S13" s="61">
        <v>-100000</v>
      </c>
      <c r="T13" s="61">
        <v>-100000</v>
      </c>
      <c r="U13" s="61">
        <v>-100000</v>
      </c>
      <c r="V13" s="61">
        <v>-100000</v>
      </c>
      <c r="W13" s="61"/>
      <c r="X13" s="61"/>
      <c r="Y13" s="61"/>
      <c r="Z13" s="61"/>
      <c r="AA13" s="79">
        <v>-350000</v>
      </c>
      <c r="AB13" s="79">
        <v>-350000</v>
      </c>
      <c r="AC13" s="79">
        <v>-350000</v>
      </c>
      <c r="AD13" s="11">
        <f>SUM(Z13:AC13)</f>
        <v>-1050000</v>
      </c>
      <c r="AE13" s="53"/>
    </row>
    <row r="14" spans="1:31" ht="20" customHeight="1">
      <c r="A14" s="78" t="s">
        <v>176</v>
      </c>
      <c r="B14" s="56"/>
      <c r="C14" s="56"/>
      <c r="D14" s="56"/>
      <c r="E14" s="56"/>
      <c r="F14" s="56"/>
      <c r="G14" s="56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8"/>
      <c r="AB14" s="8"/>
      <c r="AC14" s="76"/>
      <c r="AD14" s="11"/>
      <c r="AE14" s="53"/>
    </row>
    <row r="15" spans="1:31" ht="20" customHeight="1">
      <c r="A15" s="13" t="s">
        <v>179</v>
      </c>
      <c r="B15" s="56"/>
      <c r="C15" s="56"/>
      <c r="D15" s="56"/>
      <c r="E15" s="56"/>
      <c r="F15" s="56"/>
      <c r="G15" s="56"/>
      <c r="H15" s="61"/>
      <c r="I15" s="61">
        <v>-48625</v>
      </c>
      <c r="J15" s="61"/>
      <c r="K15" s="61"/>
      <c r="L15" s="61"/>
      <c r="M15" s="61"/>
      <c r="N15" s="61">
        <f>-55798-14500-8865</f>
        <v>-79163</v>
      </c>
      <c r="O15" s="61">
        <f>-59683-45355</f>
        <v>-105038</v>
      </c>
      <c r="P15" s="61">
        <f>-90670-72423</f>
        <v>-163093</v>
      </c>
      <c r="Q15" s="61"/>
      <c r="R15" s="61">
        <v>-114053</v>
      </c>
      <c r="S15" s="61">
        <v>-510696</v>
      </c>
      <c r="T15" s="61">
        <f>-89511-76118-186068-10488-63695-30275</f>
        <v>-456155</v>
      </c>
      <c r="U15" s="61">
        <f>-20109.67-29272.66-13872.52-37004.44</f>
        <v>-100259.29000000001</v>
      </c>
      <c r="V15" s="61">
        <v>-226092.69</v>
      </c>
      <c r="W15" s="61">
        <v>0</v>
      </c>
      <c r="X15" s="61">
        <v>-139034</v>
      </c>
      <c r="Y15" s="61"/>
      <c r="Z15" s="61">
        <f>-25511-305170.67-17771-102826-41033-26769</f>
        <v>-519080.67</v>
      </c>
      <c r="AA15" s="8">
        <v>-550000</v>
      </c>
      <c r="AB15" s="8">
        <v>-550000</v>
      </c>
      <c r="AC15" s="8">
        <v>-550000</v>
      </c>
      <c r="AD15" s="11">
        <f t="shared" ref="AD15:AD27" si="1">SUM(AA15:AC15)</f>
        <v>-1650000</v>
      </c>
      <c r="AE15" s="53"/>
    </row>
    <row r="16" spans="1:31" ht="20" customHeight="1">
      <c r="A16" s="78" t="s">
        <v>182</v>
      </c>
      <c r="B16" s="56"/>
      <c r="C16" s="56"/>
      <c r="D16" s="56"/>
      <c r="E16" s="56"/>
      <c r="F16" s="56"/>
      <c r="G16" s="56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8">
        <v>-150000</v>
      </c>
      <c r="AB16" s="8">
        <v>-150000</v>
      </c>
      <c r="AC16" s="8">
        <v>-150000</v>
      </c>
      <c r="AD16" s="11">
        <f t="shared" si="1"/>
        <v>-450000</v>
      </c>
      <c r="AE16" s="53"/>
    </row>
    <row r="17" spans="1:31" ht="40" customHeight="1">
      <c r="A17" s="13" t="s">
        <v>185</v>
      </c>
      <c r="B17" s="56"/>
      <c r="C17" s="56"/>
      <c r="D17" s="56"/>
      <c r="E17" s="56"/>
      <c r="F17" s="56"/>
      <c r="G17" s="56"/>
      <c r="H17" s="61"/>
      <c r="I17" s="61"/>
      <c r="J17" s="61"/>
      <c r="K17" s="61">
        <v>-231851</v>
      </c>
      <c r="L17" s="61"/>
      <c r="M17" s="61">
        <v>-347953</v>
      </c>
      <c r="N17" s="61"/>
      <c r="O17" s="61"/>
      <c r="P17" s="61">
        <v>-85568</v>
      </c>
      <c r="Q17" s="61"/>
      <c r="R17" s="61"/>
      <c r="S17" s="61">
        <v>-267200</v>
      </c>
      <c r="T17" s="61"/>
      <c r="U17" s="61"/>
      <c r="V17" s="61"/>
      <c r="W17" s="61"/>
      <c r="X17" s="61"/>
      <c r="Y17" s="61"/>
      <c r="Z17" s="61">
        <v>-138216</v>
      </c>
      <c r="AA17" s="8"/>
      <c r="AB17" s="8"/>
      <c r="AC17" s="76">
        <v>-150000</v>
      </c>
      <c r="AD17" s="11">
        <f t="shared" si="1"/>
        <v>-150000</v>
      </c>
      <c r="AE17" s="53"/>
    </row>
    <row r="18" spans="1:31" ht="24" customHeight="1">
      <c r="A18" s="13" t="s">
        <v>41</v>
      </c>
      <c r="B18" s="56"/>
      <c r="C18" s="56"/>
      <c r="D18" s="56"/>
      <c r="E18" s="56"/>
      <c r="F18" s="56"/>
      <c r="G18" s="56"/>
      <c r="H18" s="61"/>
      <c r="I18" s="61"/>
      <c r="J18" s="61"/>
      <c r="K18" s="61"/>
      <c r="L18" s="61"/>
      <c r="M18" s="61"/>
      <c r="N18" s="61"/>
      <c r="O18" s="61"/>
      <c r="P18" s="61"/>
      <c r="Q18" s="61">
        <v>-24550.240000000002</v>
      </c>
      <c r="R18" s="61"/>
      <c r="S18" s="61">
        <v>-172961</v>
      </c>
      <c r="T18" s="61">
        <v>-80000</v>
      </c>
      <c r="U18" s="61"/>
      <c r="V18" s="61">
        <f>-157200-52422</f>
        <v>-209622</v>
      </c>
      <c r="W18" s="61">
        <f>-372623-283800</f>
        <v>-656423</v>
      </c>
      <c r="X18" s="61">
        <v>-110000</v>
      </c>
      <c r="Y18" s="61"/>
      <c r="Z18" s="61">
        <v>-353531</v>
      </c>
      <c r="AA18" s="8">
        <f>-50000-30000</f>
        <v>-80000</v>
      </c>
      <c r="AB18" s="8">
        <f>-50000-30000</f>
        <v>-80000</v>
      </c>
      <c r="AC18" s="8">
        <f>-50000-30000</f>
        <v>-80000</v>
      </c>
      <c r="AD18" s="11">
        <f t="shared" si="1"/>
        <v>-240000</v>
      </c>
      <c r="AE18" s="53"/>
    </row>
    <row r="19" spans="1:31" ht="20" customHeight="1">
      <c r="A19" s="13" t="s">
        <v>189</v>
      </c>
      <c r="B19" s="56"/>
      <c r="C19" s="56"/>
      <c r="D19" s="56"/>
      <c r="E19" s="56"/>
      <c r="F19" s="56"/>
      <c r="G19" s="56"/>
      <c r="H19" s="61"/>
      <c r="I19" s="61">
        <v>-375098</v>
      </c>
      <c r="J19" s="61">
        <v>-348820</v>
      </c>
      <c r="K19" s="61">
        <f>-573519+122058</f>
        <v>-451461</v>
      </c>
      <c r="L19" s="61">
        <v>-305755</v>
      </c>
      <c r="M19" s="61">
        <f>-505196-170066+20595-162965</f>
        <v>-817632</v>
      </c>
      <c r="N19" s="61">
        <v>-365175</v>
      </c>
      <c r="O19" s="61">
        <v>-357968</v>
      </c>
      <c r="P19" s="61">
        <v>-319469</v>
      </c>
      <c r="Q19" s="61">
        <f>-864623-Q18-Q20-Q22</f>
        <v>-520981.76000000001</v>
      </c>
      <c r="R19" s="61">
        <f>-435082-262600</f>
        <v>-697682</v>
      </c>
      <c r="S19" s="61">
        <v>-296047</v>
      </c>
      <c r="T19" s="61">
        <f>-455408+80000</f>
        <v>-375408</v>
      </c>
      <c r="U19" s="61">
        <f>-277711.72-4000-3220-900-4410-68920.4</f>
        <v>-359162.12</v>
      </c>
      <c r="V19" s="61">
        <f>-200522-416726</f>
        <v>-617248</v>
      </c>
      <c r="W19" s="61">
        <f>-308527+41400</f>
        <v>-267127</v>
      </c>
      <c r="X19" s="61">
        <v>-385141</v>
      </c>
      <c r="Y19" s="61">
        <v>-173180</v>
      </c>
      <c r="Z19" s="61">
        <v>-237256</v>
      </c>
      <c r="AA19" s="8">
        <v>-350000</v>
      </c>
      <c r="AB19" s="8">
        <v>-350000</v>
      </c>
      <c r="AC19" s="8">
        <v>-350000</v>
      </c>
      <c r="AD19" s="11">
        <f t="shared" si="1"/>
        <v>-1050000</v>
      </c>
      <c r="AE19" s="53"/>
    </row>
    <row r="20" spans="1:31" ht="20" customHeight="1">
      <c r="A20" s="67" t="s">
        <v>192</v>
      </c>
      <c r="B20" s="56"/>
      <c r="C20" s="56"/>
      <c r="D20" s="56"/>
      <c r="E20" s="56"/>
      <c r="F20" s="56"/>
      <c r="G20" s="56"/>
      <c r="H20" s="61"/>
      <c r="I20" s="61"/>
      <c r="J20" s="61"/>
      <c r="K20" s="61"/>
      <c r="L20" s="61"/>
      <c r="M20" s="61">
        <f>-40147-7095</f>
        <v>-47242</v>
      </c>
      <c r="N20" s="61"/>
      <c r="O20" s="61">
        <f>-44858</f>
        <v>-44858</v>
      </c>
      <c r="P20" s="61">
        <f>-17700-13062-7440-4655-71168</f>
        <v>-114025</v>
      </c>
      <c r="Q20" s="61">
        <v>-31112</v>
      </c>
      <c r="R20" s="61">
        <v>-4903</v>
      </c>
      <c r="S20" s="61"/>
      <c r="T20" s="61">
        <v>-21669</v>
      </c>
      <c r="U20" s="61">
        <f>-4023-4727-13110-19200</f>
        <v>-41060</v>
      </c>
      <c r="V20" s="61">
        <f>-19200-44599</f>
        <v>-63799</v>
      </c>
      <c r="W20" s="61"/>
      <c r="X20" s="61"/>
      <c r="Y20" s="61"/>
      <c r="Z20" s="61"/>
      <c r="AA20" s="8"/>
      <c r="AB20" s="8"/>
      <c r="AC20" s="76"/>
      <c r="AD20" s="11">
        <f t="shared" si="1"/>
        <v>0</v>
      </c>
      <c r="AE20" s="53"/>
    </row>
    <row r="21" spans="1:31" ht="20" customHeight="1">
      <c r="A21" s="13" t="s">
        <v>195</v>
      </c>
      <c r="B21" s="56"/>
      <c r="C21" s="56"/>
      <c r="D21" s="56"/>
      <c r="E21" s="56"/>
      <c r="F21" s="56"/>
      <c r="G21" s="56"/>
      <c r="H21" s="61"/>
      <c r="I21" s="61"/>
      <c r="J21" s="61"/>
      <c r="K21" s="61"/>
      <c r="L21" s="61"/>
      <c r="M21" s="61">
        <f>-460000-600000</f>
        <v>-1060000</v>
      </c>
      <c r="N21" s="61">
        <v>-465000</v>
      </c>
      <c r="O21" s="61"/>
      <c r="P21" s="61">
        <f>-775000-76307</f>
        <v>-851307</v>
      </c>
      <c r="Q21" s="61"/>
      <c r="R21" s="61">
        <v>-150000</v>
      </c>
      <c r="S21" s="61">
        <v>-55279</v>
      </c>
      <c r="T21" s="61">
        <f>-150000-68010-21364</f>
        <v>-239374</v>
      </c>
      <c r="U21" s="61">
        <f>-104979.13-15625</f>
        <v>-120604.13</v>
      </c>
      <c r="V21" s="61">
        <v>-55279</v>
      </c>
      <c r="W21" s="61"/>
      <c r="X21" s="61">
        <v>-11513</v>
      </c>
      <c r="Y21" s="61">
        <v>-18426</v>
      </c>
      <c r="Z21" s="61"/>
      <c r="AA21" s="8"/>
      <c r="AB21" s="8"/>
      <c r="AC21" s="76"/>
      <c r="AD21" s="11">
        <f t="shared" si="1"/>
        <v>0</v>
      </c>
      <c r="AE21" s="53"/>
    </row>
    <row r="22" spans="1:31" ht="20" customHeight="1">
      <c r="A22" s="13" t="s">
        <v>197</v>
      </c>
      <c r="B22" s="56"/>
      <c r="C22" s="56"/>
      <c r="D22" s="56"/>
      <c r="E22" s="56"/>
      <c r="F22" s="56"/>
      <c r="G22" s="56"/>
      <c r="H22" s="61"/>
      <c r="I22" s="61"/>
      <c r="J22" s="61"/>
      <c r="K22" s="61">
        <v>-122058</v>
      </c>
      <c r="L22" s="61">
        <f>-134603-181082</f>
        <v>-315685</v>
      </c>
      <c r="M22" s="61">
        <f>-20595-9159-79676-115750-6903</f>
        <v>-232083</v>
      </c>
      <c r="N22" s="61"/>
      <c r="O22" s="61"/>
      <c r="P22" s="61">
        <f>-61091-23002</f>
        <v>-84093</v>
      </c>
      <c r="Q22" s="61">
        <f>-9669-189687-71481-17142</f>
        <v>-287979</v>
      </c>
      <c r="R22" s="61">
        <f>-60759-211545</f>
        <v>-272304</v>
      </c>
      <c r="S22" s="61">
        <f>-68021-254865</f>
        <v>-322886</v>
      </c>
      <c r="T22" s="61">
        <v>-28068</v>
      </c>
      <c r="U22" s="61">
        <f>-48813.69-225.98-4105.5-7887.27-6791.85-11196</f>
        <v>-79020.290000000008</v>
      </c>
      <c r="V22" s="61">
        <v>-59541</v>
      </c>
      <c r="W22" s="61">
        <v>-180827</v>
      </c>
      <c r="X22" s="61">
        <v>-262812</v>
      </c>
      <c r="Y22" s="61">
        <v>-102544</v>
      </c>
      <c r="Z22" s="61"/>
      <c r="AA22" s="8"/>
      <c r="AB22" s="8"/>
      <c r="AC22" s="76"/>
      <c r="AD22" s="11">
        <f t="shared" si="1"/>
        <v>0</v>
      </c>
      <c r="AE22" s="53"/>
    </row>
    <row r="23" spans="1:31" ht="22.25" customHeight="1">
      <c r="A23" s="13" t="s">
        <v>198</v>
      </c>
      <c r="B23" s="56"/>
      <c r="C23" s="56"/>
      <c r="D23" s="56"/>
      <c r="E23" s="56"/>
      <c r="F23" s="56"/>
      <c r="G23" s="56"/>
      <c r="H23" s="61">
        <v>-250000</v>
      </c>
      <c r="I23" s="61"/>
      <c r="J23" s="61"/>
      <c r="K23" s="61"/>
      <c r="L23" s="61">
        <v>-100000</v>
      </c>
      <c r="M23" s="61">
        <v>-300000</v>
      </c>
      <c r="N23" s="61"/>
      <c r="O23" s="61">
        <v>-150000</v>
      </c>
      <c r="P23" s="61">
        <v>-200000</v>
      </c>
      <c r="Q23" s="61">
        <v>-390000</v>
      </c>
      <c r="R23" s="61">
        <v>-371000</v>
      </c>
      <c r="S23" s="61">
        <v>-850000</v>
      </c>
      <c r="T23" s="61">
        <v>-817000</v>
      </c>
      <c r="U23" s="61">
        <v>-890000</v>
      </c>
      <c r="V23" s="61">
        <v>-1400000</v>
      </c>
      <c r="W23" s="61"/>
      <c r="X23" s="61"/>
      <c r="Y23" s="61"/>
      <c r="Z23" s="61"/>
      <c r="AA23" s="8">
        <v>-225000</v>
      </c>
      <c r="AB23" s="8"/>
      <c r="AC23" s="76"/>
      <c r="AD23" s="11">
        <f t="shared" si="1"/>
        <v>-225000</v>
      </c>
      <c r="AE23" s="53"/>
    </row>
    <row r="24" spans="1:31" ht="40" customHeight="1">
      <c r="A24" s="13" t="s">
        <v>200</v>
      </c>
      <c r="B24" s="56"/>
      <c r="C24" s="56"/>
      <c r="D24" s="56"/>
      <c r="E24" s="56"/>
      <c r="F24" s="56"/>
      <c r="G24" s="56"/>
      <c r="H24" s="61" t="s">
        <v>201</v>
      </c>
      <c r="I24" s="61"/>
      <c r="J24" s="61"/>
      <c r="K24" s="61"/>
      <c r="L24" s="61"/>
      <c r="M24" s="61">
        <v>-180000</v>
      </c>
      <c r="N24" s="61"/>
      <c r="O24" s="61">
        <v>-160000</v>
      </c>
      <c r="P24" s="61">
        <v>-150000</v>
      </c>
      <c r="Q24" s="61">
        <v>-415000</v>
      </c>
      <c r="R24" s="61">
        <v>-370000</v>
      </c>
      <c r="S24" s="61">
        <v>-195000</v>
      </c>
      <c r="T24" s="61">
        <v>-433000</v>
      </c>
      <c r="U24" s="61">
        <v>-110000</v>
      </c>
      <c r="V24" s="61">
        <v>-400000</v>
      </c>
      <c r="W24" s="61">
        <v>-175000</v>
      </c>
      <c r="X24" s="61"/>
      <c r="Y24" s="61"/>
      <c r="Z24" s="61"/>
      <c r="AA24" s="8"/>
      <c r="AB24" s="8"/>
      <c r="AC24" s="76"/>
      <c r="AD24" s="11">
        <f t="shared" si="1"/>
        <v>0</v>
      </c>
      <c r="AE24" s="53"/>
    </row>
    <row r="25" spans="1:31" ht="27" customHeight="1">
      <c r="A25" s="13" t="s">
        <v>39</v>
      </c>
      <c r="B25" s="56"/>
      <c r="C25" s="56"/>
      <c r="D25" s="56"/>
      <c r="E25" s="56"/>
      <c r="F25" s="56"/>
      <c r="G25" s="56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8">
        <v>-600000</v>
      </c>
      <c r="AB25" s="8"/>
      <c r="AC25" s="76"/>
      <c r="AD25" s="11">
        <f t="shared" si="1"/>
        <v>-600000</v>
      </c>
      <c r="AE25" s="53"/>
    </row>
    <row r="26" spans="1:31" ht="40" customHeight="1">
      <c r="A26" s="13" t="s">
        <v>205</v>
      </c>
      <c r="B26" s="56"/>
      <c r="C26" s="56"/>
      <c r="D26" s="56"/>
      <c r="E26" s="61">
        <v>-3375000</v>
      </c>
      <c r="F26" s="56"/>
      <c r="G26" s="56"/>
      <c r="H26" s="64"/>
      <c r="I26" s="64"/>
      <c r="J26" s="64"/>
      <c r="K26" s="61">
        <v>-4040000</v>
      </c>
      <c r="L26" s="61"/>
      <c r="M26" s="61"/>
      <c r="N26" s="61"/>
      <c r="O26" s="61"/>
      <c r="P26" s="61"/>
      <c r="Q26" s="61"/>
      <c r="R26" s="61"/>
      <c r="S26" s="61"/>
      <c r="T26" s="61">
        <v>-2035640</v>
      </c>
      <c r="U26" s="61"/>
      <c r="V26" s="61"/>
      <c r="W26" s="61">
        <v>-2013500</v>
      </c>
      <c r="X26" s="61"/>
      <c r="Y26" s="61"/>
      <c r="Z26" s="61">
        <v>-1775963.81</v>
      </c>
      <c r="AA26" s="8"/>
      <c r="AB26" s="8"/>
      <c r="AC26" s="76">
        <v>-1600000</v>
      </c>
      <c r="AD26" s="11">
        <f t="shared" si="1"/>
        <v>-1600000</v>
      </c>
      <c r="AE26" s="53"/>
    </row>
    <row r="27" spans="1:31" ht="20" customHeight="1">
      <c r="A27" s="13" t="s">
        <v>43</v>
      </c>
      <c r="B27" s="56"/>
      <c r="C27" s="56"/>
      <c r="D27" s="56"/>
      <c r="E27" s="56"/>
      <c r="F27" s="61">
        <v>-1132500</v>
      </c>
      <c r="G27" s="61">
        <f>1132500+0.5*0.2*(H15+((H9+H11+H13)*0.2))</f>
        <v>1049908.24</v>
      </c>
      <c r="H27" s="61">
        <f t="shared" ref="H27:X27" si="2">0.5*0.2*(H15+H17+((H9+H10+H11+H13+H12)*0.2))</f>
        <v>-82591.760000000009</v>
      </c>
      <c r="I27" s="61">
        <f t="shared" si="2"/>
        <v>-56563.580000000009</v>
      </c>
      <c r="J27" s="61">
        <f t="shared" si="2"/>
        <v>-69718.880000000005</v>
      </c>
      <c r="K27" s="61">
        <f t="shared" si="2"/>
        <v>-132877.4</v>
      </c>
      <c r="L27" s="61">
        <f t="shared" si="2"/>
        <v>-107523.6</v>
      </c>
      <c r="M27" s="61">
        <f t="shared" si="2"/>
        <v>-126779.90000000001</v>
      </c>
      <c r="N27" s="61">
        <f t="shared" si="2"/>
        <v>-69200.180000000008</v>
      </c>
      <c r="O27" s="61">
        <f t="shared" si="2"/>
        <v>-101647.76000000001</v>
      </c>
      <c r="P27" s="61">
        <f t="shared" si="2"/>
        <v>-88242.040000000008</v>
      </c>
      <c r="Q27" s="61">
        <f t="shared" si="2"/>
        <v>-70816.340000000011</v>
      </c>
      <c r="R27" s="61">
        <f t="shared" si="2"/>
        <v>-89503.98000000001</v>
      </c>
      <c r="S27" s="61">
        <f t="shared" si="2"/>
        <v>-150401.74</v>
      </c>
      <c r="T27" s="61">
        <f t="shared" si="2"/>
        <v>-118335.18000000001</v>
      </c>
      <c r="U27" s="61">
        <f t="shared" si="2"/>
        <v>-35844.609400000008</v>
      </c>
      <c r="V27" s="61">
        <f t="shared" si="2"/>
        <v>-22708.489000000001</v>
      </c>
      <c r="W27" s="61">
        <f t="shared" si="2"/>
        <v>0</v>
      </c>
      <c r="X27" s="61">
        <f t="shared" si="2"/>
        <v>-13903.400000000001</v>
      </c>
      <c r="Y27" s="61">
        <f>-4430118-1339684</f>
        <v>-5769802</v>
      </c>
      <c r="Z27" s="61"/>
      <c r="AA27" s="61">
        <v>-219000</v>
      </c>
      <c r="AB27" s="61"/>
      <c r="AC27" s="61"/>
      <c r="AD27" s="11">
        <f t="shared" si="1"/>
        <v>-219000</v>
      </c>
    </row>
    <row r="28" spans="1:31" s="6" customFormat="1" ht="21" customHeight="1" thickBot="1">
      <c r="A28" s="22" t="s">
        <v>207</v>
      </c>
      <c r="B28" s="48">
        <f t="shared" ref="B28:AD28" si="3">SUM(B9:B27)</f>
        <v>-6025000</v>
      </c>
      <c r="C28" s="48">
        <f t="shared" si="3"/>
        <v>-2447500</v>
      </c>
      <c r="D28" s="48">
        <f t="shared" si="3"/>
        <v>0</v>
      </c>
      <c r="E28" s="48">
        <f t="shared" si="3"/>
        <v>-9000500</v>
      </c>
      <c r="F28" s="48">
        <f t="shared" si="3"/>
        <v>-6934026</v>
      </c>
      <c r="G28" s="48">
        <f t="shared" si="3"/>
        <v>1049908.24</v>
      </c>
      <c r="H28" s="48">
        <f t="shared" si="3"/>
        <v>-4462179.76</v>
      </c>
      <c r="I28" s="48">
        <f t="shared" si="3"/>
        <v>-3065340.58</v>
      </c>
      <c r="J28" s="48">
        <f t="shared" si="3"/>
        <v>-3904482.88</v>
      </c>
      <c r="K28" s="48">
        <f t="shared" si="3"/>
        <v>-10462862.4</v>
      </c>
      <c r="L28" s="48">
        <f t="shared" si="3"/>
        <v>-6205143.5999999996</v>
      </c>
      <c r="M28" s="48">
        <f t="shared" si="3"/>
        <v>-7710919.9000000004</v>
      </c>
      <c r="N28" s="48">
        <f t="shared" si="3"/>
        <v>-4042732.18</v>
      </c>
      <c r="O28" s="48">
        <f t="shared" si="3"/>
        <v>-5476709.7599999998</v>
      </c>
      <c r="P28" s="48">
        <f t="shared" si="3"/>
        <v>-5224594.04</v>
      </c>
      <c r="Q28" s="48">
        <f t="shared" si="3"/>
        <v>-5281256.34</v>
      </c>
      <c r="R28" s="48">
        <f t="shared" si="3"/>
        <v>-5974379.9800000004</v>
      </c>
      <c r="S28" s="48">
        <f t="shared" si="3"/>
        <v>-6451077.7400000002</v>
      </c>
      <c r="T28" s="23">
        <f t="shared" si="3"/>
        <v>-8240633.1799999997</v>
      </c>
      <c r="U28" s="23">
        <f t="shared" si="3"/>
        <v>-3026884.4594000001</v>
      </c>
      <c r="V28" s="23">
        <f t="shared" si="3"/>
        <v>-3059251.179</v>
      </c>
      <c r="W28" s="23">
        <f t="shared" si="3"/>
        <v>-3292877</v>
      </c>
      <c r="X28" s="23">
        <f t="shared" si="3"/>
        <v>-922403.4</v>
      </c>
      <c r="Y28" s="23">
        <f t="shared" si="3"/>
        <v>-6063952</v>
      </c>
      <c r="Z28" s="23">
        <f t="shared" si="3"/>
        <v>-3024047.48</v>
      </c>
      <c r="AA28" s="23">
        <f t="shared" si="3"/>
        <v>-2524000</v>
      </c>
      <c r="AB28" s="23">
        <f t="shared" si="3"/>
        <v>-1480000</v>
      </c>
      <c r="AC28" s="23">
        <f t="shared" si="3"/>
        <v>-3230000</v>
      </c>
      <c r="AD28" s="24">
        <f t="shared" si="3"/>
        <v>-7234000</v>
      </c>
    </row>
    <row r="29" spans="1:31" ht="20" customHeight="1" thickBot="1">
      <c r="A29" s="25"/>
      <c r="B29" s="55"/>
      <c r="C29" s="55"/>
      <c r="D29" s="55"/>
      <c r="E29" s="55"/>
      <c r="F29" s="55"/>
      <c r="G29" s="55"/>
      <c r="H29" s="49"/>
      <c r="I29" s="49"/>
      <c r="J29" s="49"/>
      <c r="K29" s="26"/>
      <c r="L29" s="26"/>
      <c r="M29" s="26"/>
      <c r="N29" s="26"/>
      <c r="O29" s="26"/>
      <c r="P29" s="26"/>
      <c r="Q29" s="26"/>
      <c r="R29" s="26"/>
      <c r="S29" s="26"/>
      <c r="AD29" s="27"/>
    </row>
    <row r="30" spans="1:31" s="6" customFormat="1" ht="20" customHeight="1">
      <c r="A30" s="12" t="s">
        <v>45</v>
      </c>
      <c r="B30" s="54"/>
      <c r="C30" s="54"/>
      <c r="D30" s="54"/>
      <c r="E30" s="54"/>
      <c r="F30" s="54"/>
      <c r="G30" s="54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21"/>
    </row>
    <row r="31" spans="1:31" ht="20" customHeight="1">
      <c r="A31" s="13" t="s">
        <v>210</v>
      </c>
      <c r="B31" s="58"/>
      <c r="C31" s="58"/>
      <c r="D31" s="58">
        <v>3800000</v>
      </c>
      <c r="E31" s="58"/>
      <c r="F31" s="58"/>
      <c r="G31" s="58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>
        <v>6000000</v>
      </c>
      <c r="S31" s="61"/>
      <c r="T31" s="61"/>
      <c r="U31" s="61"/>
      <c r="V31" s="61"/>
      <c r="W31" s="61">
        <v>3120000</v>
      </c>
      <c r="X31" s="61"/>
      <c r="Y31" s="61">
        <v>4430118</v>
      </c>
      <c r="Z31" s="61"/>
      <c r="AA31" s="39"/>
      <c r="AB31" s="39"/>
      <c r="AC31" s="39"/>
      <c r="AD31" s="35">
        <f>SUM(AA31:AC31)</f>
        <v>0</v>
      </c>
    </row>
    <row r="32" spans="1:31" ht="40" customHeight="1">
      <c r="A32" s="13" t="s">
        <v>213</v>
      </c>
      <c r="B32" s="58"/>
      <c r="C32" s="58"/>
      <c r="D32" s="58"/>
      <c r="E32" s="58"/>
      <c r="F32" s="58"/>
      <c r="G32" s="58"/>
      <c r="H32" s="61">
        <v>110000</v>
      </c>
      <c r="I32" s="61">
        <v>50000</v>
      </c>
      <c r="J32" s="61">
        <v>66000</v>
      </c>
      <c r="K32" s="61"/>
      <c r="L32" s="61"/>
      <c r="M32" s="61"/>
      <c r="N32" s="61">
        <v>48546</v>
      </c>
      <c r="O32" s="61"/>
      <c r="P32" s="61"/>
      <c r="Q32" s="61"/>
      <c r="R32" s="61"/>
      <c r="S32" s="61">
        <v>276200</v>
      </c>
      <c r="T32" s="61"/>
      <c r="U32" s="61"/>
      <c r="V32" s="61"/>
      <c r="W32" s="61">
        <f>1491944+283800-41400+22631+11720</f>
        <v>1768695</v>
      </c>
      <c r="X32" s="61">
        <v>132000</v>
      </c>
      <c r="Y32" s="61"/>
      <c r="Z32" s="61">
        <v>482566</v>
      </c>
      <c r="AA32" s="8"/>
      <c r="AB32" s="8">
        <v>100000</v>
      </c>
      <c r="AC32" s="8"/>
      <c r="AD32" s="35">
        <f>SUM(AA32:AC32)</f>
        <v>100000</v>
      </c>
      <c r="AE32" s="53"/>
    </row>
    <row r="33" spans="1:32" ht="40" customHeight="1">
      <c r="A33" s="13" t="s">
        <v>216</v>
      </c>
      <c r="B33" s="58"/>
      <c r="C33" s="58"/>
      <c r="D33" s="58"/>
      <c r="E33" s="58"/>
      <c r="F33" s="58"/>
      <c r="G33" s="58"/>
      <c r="H33" s="64"/>
      <c r="I33" s="64"/>
      <c r="J33" s="64"/>
      <c r="K33" s="61">
        <f t="shared" ref="K33:S33" si="4">-(K9+K10+K11)*0.05</f>
        <v>254307.45</v>
      </c>
      <c r="L33" s="61">
        <f t="shared" si="4"/>
        <v>248885.7</v>
      </c>
      <c r="M33" s="61">
        <f t="shared" si="4"/>
        <v>210038.2</v>
      </c>
      <c r="N33" s="61">
        <f t="shared" si="4"/>
        <v>133286.39999999999</v>
      </c>
      <c r="O33" s="61">
        <f t="shared" si="4"/>
        <v>207936.6</v>
      </c>
      <c r="P33" s="61">
        <f t="shared" si="4"/>
        <v>138516.55000000002</v>
      </c>
      <c r="Q33" s="61">
        <f t="shared" si="4"/>
        <v>157117.55000000002</v>
      </c>
      <c r="R33" s="61">
        <f t="shared" si="4"/>
        <v>188605.6</v>
      </c>
      <c r="S33" s="61">
        <f t="shared" si="4"/>
        <v>176530.35</v>
      </c>
      <c r="T33" s="61">
        <f>-(T9+T10+T11+T12)*0.05+4500000</f>
        <v>4676799.2</v>
      </c>
      <c r="U33" s="61">
        <f>-(U9+U10+U11+U12)*0.05</f>
        <v>59546.701000000001</v>
      </c>
      <c r="V33" s="61"/>
      <c r="W33" s="61"/>
      <c r="X33" s="61"/>
      <c r="Y33" s="61"/>
      <c r="Z33" s="61"/>
      <c r="AA33" s="8"/>
      <c r="AB33" s="8"/>
      <c r="AC33" s="8"/>
      <c r="AD33" s="35">
        <f>SUM(AA33:AC33)</f>
        <v>0</v>
      </c>
    </row>
    <row r="34" spans="1:32" s="9" customFormat="1" ht="20" customHeight="1">
      <c r="A34" s="14" t="s">
        <v>217</v>
      </c>
      <c r="B34" s="58"/>
      <c r="C34" s="58">
        <v>610000</v>
      </c>
      <c r="D34" s="58"/>
      <c r="E34" s="58">
        <v>4320000</v>
      </c>
      <c r="F34" s="58"/>
      <c r="G34" s="58">
        <v>2100000</v>
      </c>
      <c r="H34" s="50">
        <f>1700000-H23</f>
        <v>1950000</v>
      </c>
      <c r="I34" s="50">
        <f>450000+550000-I23-I24</f>
        <v>1000000</v>
      </c>
      <c r="J34" s="50">
        <f>825000+1845000+1390000</f>
        <v>4060000</v>
      </c>
      <c r="K34" s="50">
        <v>4040000</v>
      </c>
      <c r="L34" s="50">
        <f>460000+2000000+2930000-L23-L24-L26</f>
        <v>5490000</v>
      </c>
      <c r="M34" s="50">
        <f>-M23-M24</f>
        <v>480000</v>
      </c>
      <c r="N34" s="50">
        <f>485000-N23-N24</f>
        <v>485000</v>
      </c>
      <c r="O34" s="50">
        <f>72000-O23-O24</f>
        <v>382000</v>
      </c>
      <c r="P34" s="50">
        <f>985000-P23-P24</f>
        <v>1335000</v>
      </c>
      <c r="Q34" s="50">
        <f>74191-Q23-Q24-Q26</f>
        <v>879191</v>
      </c>
      <c r="R34" s="50">
        <f>5000000+13841+197789-R23-R24-R26</f>
        <v>5952630</v>
      </c>
      <c r="S34" s="50">
        <f>110200-S23-S24-S26</f>
        <v>1155200</v>
      </c>
      <c r="T34" s="61">
        <f>265300-T23-T24-T26</f>
        <v>3550940</v>
      </c>
      <c r="U34" s="61">
        <f>243000+951000-U23-U24-U26-U25</f>
        <v>2194000</v>
      </c>
      <c r="V34" s="61">
        <f>215500+34000-V23-V24-V26-V25</f>
        <v>2049500</v>
      </c>
      <c r="W34" s="61">
        <f>28100+500000-W23-W24-W25</f>
        <v>703100</v>
      </c>
      <c r="X34" s="61">
        <f>-X23-X24-X26-X25</f>
        <v>0</v>
      </c>
      <c r="Y34" s="61">
        <f>121000-Y23-Y24-Y26-Y25</f>
        <v>121000</v>
      </c>
      <c r="Z34" s="61">
        <f>2500000-Z23-Z24-Z25</f>
        <v>2500000</v>
      </c>
      <c r="AA34" s="61">
        <v>2000000</v>
      </c>
      <c r="AB34" s="61">
        <v>2000000</v>
      </c>
      <c r="AC34" s="61">
        <v>3000000</v>
      </c>
      <c r="AD34" s="35">
        <f>SUM(AA34:AC34)</f>
        <v>7000000</v>
      </c>
    </row>
    <row r="35" spans="1:32" ht="20" customHeight="1">
      <c r="A35" s="13" t="s">
        <v>218</v>
      </c>
      <c r="B35" s="58">
        <v>7380000</v>
      </c>
      <c r="C35" s="58"/>
      <c r="D35" s="58"/>
      <c r="E35" s="58"/>
      <c r="F35" s="58">
        <v>10000000</v>
      </c>
      <c r="G35" s="58"/>
      <c r="H35" s="64"/>
      <c r="I35" s="64"/>
      <c r="J35" s="64"/>
      <c r="K35" s="64"/>
      <c r="L35" s="64"/>
      <c r="M35" s="58">
        <v>30000000</v>
      </c>
      <c r="N35" s="58"/>
      <c r="O35" s="58"/>
      <c r="P35" s="58"/>
      <c r="Q35" s="58"/>
      <c r="R35" s="58"/>
      <c r="S35" s="58"/>
      <c r="T35" s="61"/>
      <c r="U35" s="61"/>
      <c r="V35" s="61"/>
      <c r="W35" s="61"/>
      <c r="X35" s="61"/>
      <c r="Y35" s="61"/>
      <c r="Z35" s="61"/>
      <c r="AA35" s="77"/>
      <c r="AB35" s="75"/>
      <c r="AC35" s="75"/>
      <c r="AD35" s="35">
        <f>SUM(X35:Z35)</f>
        <v>0</v>
      </c>
    </row>
    <row r="36" spans="1:32" s="6" customFormat="1" ht="21" customHeight="1" thickBot="1">
      <c r="A36" s="22" t="s">
        <v>219</v>
      </c>
      <c r="B36" s="51">
        <f t="shared" ref="B36:AD36" si="5">SUM(B31:B35)</f>
        <v>7380000</v>
      </c>
      <c r="C36" s="51">
        <f t="shared" si="5"/>
        <v>610000</v>
      </c>
      <c r="D36" s="51">
        <f t="shared" si="5"/>
        <v>3800000</v>
      </c>
      <c r="E36" s="51">
        <f t="shared" si="5"/>
        <v>4320000</v>
      </c>
      <c r="F36" s="51">
        <f t="shared" si="5"/>
        <v>10000000</v>
      </c>
      <c r="G36" s="51">
        <f t="shared" si="5"/>
        <v>2100000</v>
      </c>
      <c r="H36" s="51">
        <f t="shared" si="5"/>
        <v>2060000</v>
      </c>
      <c r="I36" s="51">
        <f t="shared" si="5"/>
        <v>1050000</v>
      </c>
      <c r="J36" s="51">
        <f t="shared" si="5"/>
        <v>4126000</v>
      </c>
      <c r="K36" s="51">
        <f t="shared" si="5"/>
        <v>4294307.45</v>
      </c>
      <c r="L36" s="51">
        <f t="shared" si="5"/>
        <v>5738885.7000000002</v>
      </c>
      <c r="M36" s="51">
        <f t="shared" si="5"/>
        <v>30690038.199999999</v>
      </c>
      <c r="N36" s="51">
        <f t="shared" si="5"/>
        <v>666832.4</v>
      </c>
      <c r="O36" s="51">
        <f t="shared" si="5"/>
        <v>589936.6</v>
      </c>
      <c r="P36" s="51">
        <f t="shared" si="5"/>
        <v>1473516.55</v>
      </c>
      <c r="Q36" s="51">
        <f t="shared" si="5"/>
        <v>1036308.55</v>
      </c>
      <c r="R36" s="51">
        <f t="shared" si="5"/>
        <v>12141235.6</v>
      </c>
      <c r="S36" s="51">
        <f t="shared" si="5"/>
        <v>1607930.35</v>
      </c>
      <c r="T36" s="30">
        <f t="shared" si="5"/>
        <v>8227739.2000000002</v>
      </c>
      <c r="U36" s="30">
        <f t="shared" si="5"/>
        <v>2253546.7009999999</v>
      </c>
      <c r="V36" s="30">
        <f t="shared" si="5"/>
        <v>2049500</v>
      </c>
      <c r="W36" s="30">
        <f t="shared" si="5"/>
        <v>5591795</v>
      </c>
      <c r="X36" s="30">
        <f t="shared" si="5"/>
        <v>132000</v>
      </c>
      <c r="Y36" s="30">
        <f t="shared" si="5"/>
        <v>4551118</v>
      </c>
      <c r="Z36" s="30">
        <f t="shared" si="5"/>
        <v>2982566</v>
      </c>
      <c r="AA36" s="30">
        <f t="shared" si="5"/>
        <v>2000000</v>
      </c>
      <c r="AB36" s="30">
        <f t="shared" si="5"/>
        <v>2100000</v>
      </c>
      <c r="AC36" s="30">
        <f t="shared" si="5"/>
        <v>3000000</v>
      </c>
      <c r="AD36" s="31">
        <f t="shared" si="5"/>
        <v>7100000</v>
      </c>
    </row>
    <row r="37" spans="1:32" s="5" customFormat="1" ht="20" customHeight="1" thickBot="1">
      <c r="A37" s="32"/>
      <c r="B37" s="57"/>
      <c r="C37" s="57"/>
      <c r="D37" s="57"/>
      <c r="E37" s="57"/>
      <c r="F37" s="57"/>
      <c r="G37" s="57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33"/>
    </row>
    <row r="38" spans="1:32" ht="21" customHeight="1" thickBot="1">
      <c r="A38" s="28" t="s">
        <v>51</v>
      </c>
      <c r="B38" s="65">
        <f t="shared" ref="B38:AD38" si="6">B6+B28+B36</f>
        <v>1355000</v>
      </c>
      <c r="C38" s="65">
        <f t="shared" si="6"/>
        <v>-482500</v>
      </c>
      <c r="D38" s="65">
        <f t="shared" si="6"/>
        <v>3317500</v>
      </c>
      <c r="E38" s="65">
        <f t="shared" si="6"/>
        <v>-1363000</v>
      </c>
      <c r="F38" s="65">
        <f t="shared" si="6"/>
        <v>1702974</v>
      </c>
      <c r="G38" s="65">
        <f t="shared" si="6"/>
        <v>4852882.24</v>
      </c>
      <c r="H38" s="65">
        <f t="shared" si="6"/>
        <v>2450702.4800000004</v>
      </c>
      <c r="I38" s="65">
        <f t="shared" si="6"/>
        <v>435361.90000000037</v>
      </c>
      <c r="J38" s="65">
        <f t="shared" si="6"/>
        <v>656879.02000000048</v>
      </c>
      <c r="K38" s="65">
        <f t="shared" si="6"/>
        <v>-5511675.9299999988</v>
      </c>
      <c r="L38" s="65">
        <f t="shared" si="6"/>
        <v>-5977933.8299999973</v>
      </c>
      <c r="M38" s="65">
        <f t="shared" si="6"/>
        <v>17001184.470000003</v>
      </c>
      <c r="N38" s="65">
        <f t="shared" si="6"/>
        <v>13625284.690000003</v>
      </c>
      <c r="O38" s="65">
        <f t="shared" si="6"/>
        <v>8738511.5300000031</v>
      </c>
      <c r="P38" s="65">
        <f t="shared" si="6"/>
        <v>4987434.0400000028</v>
      </c>
      <c r="Q38" s="65">
        <f t="shared" si="6"/>
        <v>742486.25000000303</v>
      </c>
      <c r="R38" s="65">
        <f t="shared" si="6"/>
        <v>6909341.870000002</v>
      </c>
      <c r="S38" s="65">
        <f t="shared" si="6"/>
        <v>2066194.4800000018</v>
      </c>
      <c r="T38" s="65">
        <f t="shared" si="6"/>
        <v>2053300.5000000028</v>
      </c>
      <c r="U38" s="65">
        <f t="shared" si="6"/>
        <v>1279962.7416000026</v>
      </c>
      <c r="V38" s="65">
        <f t="shared" si="6"/>
        <v>270211.56260000262</v>
      </c>
      <c r="W38" s="65">
        <f t="shared" si="6"/>
        <v>2569129.5626000026</v>
      </c>
      <c r="X38" s="65">
        <f t="shared" si="6"/>
        <v>1778726.1626000027</v>
      </c>
      <c r="Y38" s="65">
        <f t="shared" si="6"/>
        <v>265892.16260000318</v>
      </c>
      <c r="Z38" s="65">
        <f t="shared" si="6"/>
        <v>224410.6826000032</v>
      </c>
      <c r="AA38" s="29">
        <f t="shared" si="6"/>
        <v>-299589.3173999968</v>
      </c>
      <c r="AB38" s="29">
        <f t="shared" si="6"/>
        <v>320410.6826000032</v>
      </c>
      <c r="AC38" s="29">
        <f t="shared" si="6"/>
        <v>90410.682600003202</v>
      </c>
      <c r="AD38" s="29">
        <f t="shared" si="6"/>
        <v>-134000</v>
      </c>
    </row>
    <row r="40" spans="1:32">
      <c r="A40" s="4" t="s">
        <v>220</v>
      </c>
      <c r="B40" s="3" t="s">
        <v>221</v>
      </c>
      <c r="C40" s="4"/>
      <c r="D40" s="4"/>
      <c r="E40" s="4"/>
      <c r="F40" s="4"/>
      <c r="G40" s="4"/>
    </row>
    <row r="41" spans="1:32">
      <c r="B41" s="3" t="s">
        <v>222</v>
      </c>
      <c r="L41" s="3"/>
      <c r="S41" s="75"/>
    </row>
    <row r="42" spans="1:32">
      <c r="B42" s="3" t="s">
        <v>223</v>
      </c>
      <c r="L42" s="3"/>
      <c r="V42" s="4" t="s">
        <v>224</v>
      </c>
    </row>
    <row r="43" spans="1:32">
      <c r="B43" s="3"/>
      <c r="L43" s="3"/>
    </row>
    <row r="44" spans="1:32">
      <c r="I44" s="37"/>
      <c r="J44" s="37"/>
      <c r="K44" s="37"/>
      <c r="L44" s="3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F44" s="37"/>
    </row>
    <row r="45" spans="1:32">
      <c r="L45" s="3"/>
    </row>
    <row r="46" spans="1:32">
      <c r="B46" s="3"/>
    </row>
    <row r="50" spans="9:18">
      <c r="R50" s="4" t="s">
        <v>201</v>
      </c>
    </row>
    <row r="52" spans="9:18">
      <c r="I52" s="53"/>
      <c r="J52" s="53"/>
      <c r="K52" s="53"/>
      <c r="L52" s="53"/>
      <c r="M52" s="53"/>
      <c r="N52" s="53"/>
    </row>
    <row r="53" spans="9:18">
      <c r="I53" s="53"/>
      <c r="J53" s="53"/>
      <c r="K53" s="53"/>
      <c r="L53" s="53"/>
      <c r="M53" s="53"/>
      <c r="N53" s="53"/>
    </row>
    <row r="54" spans="9:18">
      <c r="I54" s="53"/>
      <c r="J54" s="53"/>
      <c r="K54" s="53"/>
      <c r="L54" s="53"/>
      <c r="M54" s="53"/>
      <c r="N54" s="53"/>
    </row>
    <row r="55" spans="9:18">
      <c r="I55" s="53"/>
      <c r="J55" s="53"/>
      <c r="K55" s="53"/>
      <c r="L55" s="53"/>
      <c r="M55" s="53"/>
      <c r="N55" s="53"/>
    </row>
    <row r="56" spans="9:18">
      <c r="I56" s="53"/>
      <c r="J56" s="53"/>
      <c r="K56" s="53"/>
      <c r="L56" s="53"/>
      <c r="M56" s="53"/>
      <c r="N56" s="53"/>
    </row>
    <row r="57" spans="9:18">
      <c r="I57" s="53"/>
      <c r="J57" s="53"/>
      <c r="K57" s="53"/>
      <c r="L57" s="53"/>
      <c r="M57" s="53"/>
      <c r="N57" s="53"/>
    </row>
    <row r="58" spans="9:18">
      <c r="I58" s="53"/>
      <c r="J58" s="53"/>
      <c r="K58" s="53"/>
      <c r="L58" s="53"/>
      <c r="M58" s="53"/>
      <c r="N58" s="53"/>
    </row>
    <row r="59" spans="9:18">
      <c r="I59" s="53"/>
      <c r="J59" s="53"/>
      <c r="K59" s="53"/>
      <c r="L59" s="53"/>
      <c r="M59" s="53"/>
      <c r="N59" s="53"/>
    </row>
    <row r="60" spans="9:18">
      <c r="I60" s="53"/>
      <c r="J60" s="53"/>
      <c r="K60" s="53"/>
      <c r="L60" s="53"/>
      <c r="M60" s="53"/>
      <c r="N60" s="53"/>
    </row>
    <row r="61" spans="9:18">
      <c r="I61" s="53"/>
      <c r="J61" s="53"/>
      <c r="K61" s="53"/>
      <c r="L61" s="53"/>
      <c r="M61" s="53"/>
      <c r="N61" s="53"/>
    </row>
    <row r="62" spans="9:18">
      <c r="I62" s="53"/>
      <c r="J62" s="53"/>
      <c r="K62" s="53"/>
      <c r="L62" s="53"/>
      <c r="M62" s="53"/>
      <c r="N62" s="53"/>
    </row>
    <row r="63" spans="9:18">
      <c r="I63" s="53"/>
      <c r="J63" s="53"/>
      <c r="K63" s="53"/>
      <c r="L63" s="53"/>
      <c r="M63" s="53"/>
      <c r="N63" s="53"/>
    </row>
    <row r="64" spans="9:18">
      <c r="I64" s="53"/>
      <c r="J64" s="53"/>
      <c r="K64" s="53"/>
      <c r="L64" s="53"/>
      <c r="M64" s="53"/>
      <c r="N64" s="53"/>
    </row>
    <row r="65" spans="9:14">
      <c r="I65" s="53"/>
      <c r="J65" s="53"/>
      <c r="K65" s="53"/>
      <c r="L65" s="53"/>
      <c r="M65" s="53"/>
      <c r="N65" s="53"/>
    </row>
    <row r="66" spans="9:14">
      <c r="I66" s="53"/>
      <c r="J66" s="53"/>
      <c r="K66" s="53"/>
      <c r="L66" s="53"/>
      <c r="M66" s="53"/>
      <c r="N66" s="53"/>
    </row>
    <row r="67" spans="9:14">
      <c r="I67" s="53"/>
      <c r="J67" s="53"/>
      <c r="K67" s="53"/>
      <c r="L67" s="53"/>
      <c r="M67" s="53"/>
      <c r="N67" s="53"/>
    </row>
    <row r="68" spans="9:14">
      <c r="I68" s="53"/>
      <c r="J68" s="53"/>
      <c r="K68" s="53"/>
      <c r="L68" s="53"/>
      <c r="M68" s="53"/>
      <c r="N68" s="53"/>
    </row>
    <row r="69" spans="9:14">
      <c r="I69" s="53"/>
      <c r="J69" s="53"/>
      <c r="K69" s="53"/>
      <c r="L69" s="53"/>
      <c r="M69" s="53"/>
      <c r="N69" s="53"/>
    </row>
    <row r="70" spans="9:14">
      <c r="I70" s="53"/>
      <c r="J70" s="53"/>
      <c r="K70" s="53"/>
      <c r="L70" s="53"/>
      <c r="M70" s="53"/>
      <c r="N70" s="53"/>
    </row>
    <row r="71" spans="9:14">
      <c r="I71" s="53"/>
      <c r="J71" s="53"/>
      <c r="K71" s="53"/>
      <c r="L71" s="53"/>
      <c r="M71" s="53"/>
      <c r="N71" s="53"/>
    </row>
    <row r="72" spans="9:14">
      <c r="I72" s="53"/>
      <c r="J72" s="53"/>
      <c r="K72" s="53"/>
      <c r="L72" s="53"/>
      <c r="M72" s="53"/>
      <c r="N72" s="53"/>
    </row>
    <row r="73" spans="9:14">
      <c r="I73" s="53"/>
      <c r="J73" s="53"/>
      <c r="K73" s="53"/>
      <c r="L73" s="53"/>
      <c r="M73" s="53"/>
      <c r="N73" s="53"/>
    </row>
    <row r="74" spans="9:14">
      <c r="I74" s="53"/>
      <c r="J74" s="53"/>
      <c r="K74" s="53"/>
      <c r="L74" s="53"/>
      <c r="M74" s="53"/>
      <c r="N74" s="53"/>
    </row>
    <row r="75" spans="9:14">
      <c r="I75" s="53"/>
      <c r="J75" s="53"/>
      <c r="K75" s="53"/>
      <c r="L75" s="53"/>
      <c r="M75" s="53"/>
      <c r="N75" s="53"/>
    </row>
    <row r="76" spans="9:14">
      <c r="I76" s="53"/>
      <c r="J76" s="53"/>
      <c r="K76" s="53"/>
      <c r="L76" s="53"/>
      <c r="M76" s="53"/>
      <c r="N76" s="53"/>
    </row>
  </sheetData>
  <pageMargins left="0.7" right="0.7" top="0.75" bottom="0.75" header="0.3" footer="0.3"/>
  <pageSetup paperSize="9" scale="4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7"/>
  <sheetViews>
    <sheetView zoomScale="130" zoomScaleNormal="130" workbookViewId="0">
      <selection activeCell="C22" sqref="C22"/>
    </sheetView>
  </sheetViews>
  <sheetFormatPr baseColWidth="10" defaultColWidth="11.5" defaultRowHeight="15"/>
  <cols>
    <col min="2" max="4" width="15.1640625" customWidth="1"/>
    <col min="5" max="6" width="17.1640625" customWidth="1"/>
    <col min="7" max="8" width="15.5" customWidth="1"/>
    <col min="9" max="10" width="18" customWidth="1"/>
    <col min="11" max="11" width="14.1640625" customWidth="1"/>
    <col min="14" max="14" width="14" customWidth="1"/>
  </cols>
  <sheetData>
    <row r="1" spans="1:15" ht="16" customHeight="1">
      <c r="B1" s="559" t="s">
        <v>225</v>
      </c>
      <c r="C1" s="560"/>
      <c r="D1" s="560"/>
      <c r="E1" s="560"/>
      <c r="F1" s="560"/>
      <c r="G1" s="560"/>
      <c r="H1" s="560"/>
      <c r="I1" s="560"/>
      <c r="J1" s="305"/>
    </row>
    <row r="2" spans="1:15">
      <c r="D2" s="42"/>
      <c r="E2" s="43" t="s">
        <v>226</v>
      </c>
      <c r="F2" s="43" t="s">
        <v>227</v>
      </c>
      <c r="G2" s="43" t="s">
        <v>228</v>
      </c>
      <c r="H2" s="43" t="s">
        <v>229</v>
      </c>
      <c r="I2" s="43" t="s">
        <v>230</v>
      </c>
      <c r="J2" s="43" t="s">
        <v>231</v>
      </c>
      <c r="K2" s="66"/>
      <c r="N2" s="43" t="s">
        <v>232</v>
      </c>
    </row>
    <row r="3" spans="1:15">
      <c r="B3" s="42"/>
      <c r="C3" s="42"/>
      <c r="D3" s="42"/>
      <c r="E3" s="43"/>
      <c r="F3" s="43"/>
      <c r="G3" s="43"/>
      <c r="H3" s="43"/>
      <c r="I3" s="43"/>
      <c r="J3" s="43"/>
    </row>
    <row r="4" spans="1:15">
      <c r="B4" s="42" t="s">
        <v>146</v>
      </c>
      <c r="C4" s="69" t="s">
        <v>146</v>
      </c>
      <c r="E4" s="43"/>
      <c r="F4" s="43"/>
      <c r="G4" s="43"/>
      <c r="H4" s="43"/>
      <c r="I4" s="43"/>
      <c r="J4" s="43"/>
    </row>
    <row r="5" spans="1:15">
      <c r="B5" s="42" t="s">
        <v>233</v>
      </c>
      <c r="C5" s="70" t="s">
        <v>234</v>
      </c>
      <c r="E5" s="43"/>
      <c r="F5" s="43"/>
      <c r="G5" s="43"/>
      <c r="H5" s="43"/>
      <c r="I5" s="43"/>
      <c r="J5" s="43"/>
    </row>
    <row r="6" spans="1:15">
      <c r="A6" s="2">
        <v>45536</v>
      </c>
      <c r="B6" s="1">
        <v>76688142</v>
      </c>
      <c r="C6" s="71"/>
      <c r="D6" s="1"/>
      <c r="E6" s="1">
        <f>B6-I6-G6-K6</f>
        <v>59059138</v>
      </c>
      <c r="F6" s="1">
        <v>59059138</v>
      </c>
      <c r="G6" s="1">
        <v>2663064</v>
      </c>
      <c r="H6" s="1">
        <v>2663064</v>
      </c>
      <c r="I6" s="1">
        <f>13849441+1116499</f>
        <v>14965940</v>
      </c>
      <c r="J6" s="1">
        <v>14965940</v>
      </c>
      <c r="K6" s="1"/>
      <c r="L6" s="1"/>
      <c r="N6" s="1">
        <v>12824766</v>
      </c>
      <c r="O6" t="s">
        <v>235</v>
      </c>
    </row>
    <row r="7" spans="1:15">
      <c r="A7" s="2"/>
      <c r="B7" s="1"/>
      <c r="C7" s="71"/>
      <c r="D7" s="1"/>
      <c r="E7" s="1"/>
      <c r="F7" s="1"/>
      <c r="G7" s="1"/>
      <c r="H7" s="1"/>
      <c r="I7" s="1"/>
      <c r="J7" s="1"/>
      <c r="K7" s="1"/>
      <c r="L7" s="1"/>
    </row>
    <row r="8" spans="1:15">
      <c r="A8" s="2">
        <v>45566</v>
      </c>
      <c r="B8" s="44">
        <f t="shared" ref="B8:B16" si="0">E8+G8+I8</f>
        <v>0</v>
      </c>
      <c r="C8" s="72">
        <f>F8+H8+J8+K8+O8</f>
        <v>3632653</v>
      </c>
      <c r="D8" s="44">
        <f t="shared" ref="D8:D20" si="1">F8+H8+J8</f>
        <v>3234187</v>
      </c>
      <c r="E8" s="1">
        <f t="shared" ref="E8:E16" si="2">$E$26/9</f>
        <v>0</v>
      </c>
      <c r="F8" s="1">
        <v>1703950</v>
      </c>
      <c r="G8" s="1"/>
      <c r="H8" s="1">
        <v>300000</v>
      </c>
      <c r="I8" s="1">
        <f>$I$26/5</f>
        <v>0</v>
      </c>
      <c r="J8" s="1">
        <v>1230237</v>
      </c>
      <c r="K8" s="1"/>
      <c r="L8" s="1"/>
      <c r="N8" s="1">
        <v>431798.89</v>
      </c>
      <c r="O8" s="1">
        <v>398466</v>
      </c>
    </row>
    <row r="9" spans="1:15">
      <c r="A9" s="2">
        <v>45597</v>
      </c>
      <c r="B9" s="44">
        <f t="shared" si="0"/>
        <v>0</v>
      </c>
      <c r="C9" s="72">
        <f>F9+H9+J9+K9+O9</f>
        <v>5484615</v>
      </c>
      <c r="D9" s="44">
        <f t="shared" si="1"/>
        <v>5086149</v>
      </c>
      <c r="E9" s="1">
        <f t="shared" si="2"/>
        <v>0</v>
      </c>
      <c r="F9" s="1">
        <v>3356909</v>
      </c>
      <c r="G9" s="1"/>
      <c r="H9" s="1">
        <v>221437</v>
      </c>
      <c r="I9" s="1">
        <f>$I$26/5</f>
        <v>0</v>
      </c>
      <c r="J9" s="1">
        <v>1507803</v>
      </c>
      <c r="K9" s="1"/>
      <c r="L9" s="1"/>
      <c r="N9" s="1">
        <v>431798.89</v>
      </c>
      <c r="O9" s="1">
        <v>398466</v>
      </c>
    </row>
    <row r="10" spans="1:15">
      <c r="A10" s="2">
        <v>45627</v>
      </c>
      <c r="B10" s="44">
        <f t="shared" si="0"/>
        <v>0</v>
      </c>
      <c r="C10" s="72">
        <f>F10+H10+J10+K10+O10</f>
        <v>5376180</v>
      </c>
      <c r="D10" s="44">
        <f t="shared" si="1"/>
        <v>4977714</v>
      </c>
      <c r="E10" s="1">
        <f t="shared" si="2"/>
        <v>0</v>
      </c>
      <c r="F10" s="1">
        <v>2515021</v>
      </c>
      <c r="G10" s="1">
        <f>$G$26/4</f>
        <v>0</v>
      </c>
      <c r="H10" s="1">
        <f>1423808-600000</f>
        <v>823808</v>
      </c>
      <c r="I10" s="1">
        <f>$I$26/5</f>
        <v>0</v>
      </c>
      <c r="J10" s="1">
        <v>1638885</v>
      </c>
      <c r="L10" s="1"/>
      <c r="N10" s="1">
        <v>431798.89</v>
      </c>
      <c r="O10" s="1">
        <v>398466</v>
      </c>
    </row>
    <row r="11" spans="1:15">
      <c r="A11" s="2">
        <v>45658</v>
      </c>
      <c r="B11" s="44">
        <f t="shared" si="0"/>
        <v>0</v>
      </c>
      <c r="C11" s="72">
        <f>F11+H11+J11+K12+O11</f>
        <v>4599230</v>
      </c>
      <c r="D11" s="44">
        <f t="shared" si="1"/>
        <v>4200764</v>
      </c>
      <c r="E11" s="1">
        <f t="shared" si="2"/>
        <v>0</v>
      </c>
      <c r="F11" s="1">
        <v>2137684</v>
      </c>
      <c r="G11" s="1">
        <f>$G$26/4</f>
        <v>0</v>
      </c>
      <c r="H11" s="1">
        <f>251462+600000</f>
        <v>851462</v>
      </c>
      <c r="I11" s="1">
        <f>$I$26/5</f>
        <v>0</v>
      </c>
      <c r="J11" s="1">
        <v>1211618</v>
      </c>
      <c r="L11" s="1"/>
      <c r="N11" s="1">
        <v>431798.89</v>
      </c>
      <c r="O11" s="1">
        <v>398466</v>
      </c>
    </row>
    <row r="12" spans="1:15">
      <c r="A12" s="2">
        <v>45689</v>
      </c>
      <c r="B12" s="44">
        <f t="shared" si="0"/>
        <v>0</v>
      </c>
      <c r="C12" s="72">
        <f t="shared" ref="C12:C18" si="3">F12+H12+J12+K12+O12</f>
        <v>3064194</v>
      </c>
      <c r="D12" s="44">
        <f t="shared" si="1"/>
        <v>2665728</v>
      </c>
      <c r="E12" s="1">
        <f t="shared" si="2"/>
        <v>0</v>
      </c>
      <c r="F12" s="1">
        <v>1170136</v>
      </c>
      <c r="G12" s="1">
        <f>$G$26/4</f>
        <v>0</v>
      </c>
      <c r="H12" s="1">
        <v>450935</v>
      </c>
      <c r="I12" s="1">
        <f>$I$26/5</f>
        <v>0</v>
      </c>
      <c r="J12" s="1">
        <v>1044657</v>
      </c>
      <c r="K12" s="1"/>
      <c r="L12" s="1"/>
      <c r="N12" s="1">
        <v>431798.89</v>
      </c>
      <c r="O12" s="1">
        <v>398466</v>
      </c>
    </row>
    <row r="13" spans="1:15">
      <c r="A13" s="2">
        <v>45717</v>
      </c>
      <c r="B13" s="44">
        <f t="shared" si="0"/>
        <v>0</v>
      </c>
      <c r="C13" s="72">
        <f t="shared" si="3"/>
        <v>4557198</v>
      </c>
      <c r="D13" s="44">
        <f t="shared" si="1"/>
        <v>4158732</v>
      </c>
      <c r="E13" s="1">
        <f t="shared" si="2"/>
        <v>0</v>
      </c>
      <c r="F13" s="1">
        <v>2195244</v>
      </c>
      <c r="G13" s="1">
        <f>$G$26/4</f>
        <v>0</v>
      </c>
      <c r="H13" s="1">
        <v>1076933</v>
      </c>
      <c r="I13" s="1"/>
      <c r="J13" s="1">
        <v>886555</v>
      </c>
      <c r="K13" s="1"/>
      <c r="L13" s="1"/>
      <c r="N13" s="1">
        <v>431798.89</v>
      </c>
      <c r="O13" s="1">
        <v>398466</v>
      </c>
    </row>
    <row r="14" spans="1:15">
      <c r="A14" s="2">
        <v>45748</v>
      </c>
      <c r="B14" s="44">
        <f t="shared" si="0"/>
        <v>0</v>
      </c>
      <c r="C14" s="72">
        <f t="shared" si="3"/>
        <v>3168797</v>
      </c>
      <c r="D14" s="44">
        <f t="shared" si="1"/>
        <v>2770331</v>
      </c>
      <c r="E14" s="1">
        <f t="shared" si="2"/>
        <v>0</v>
      </c>
      <c r="F14" s="1">
        <v>1344630</v>
      </c>
      <c r="G14" s="1"/>
      <c r="H14" s="1">
        <v>610739</v>
      </c>
      <c r="I14" s="1"/>
      <c r="J14" s="1">
        <v>814962</v>
      </c>
      <c r="K14" s="1"/>
      <c r="L14" s="1"/>
      <c r="N14" s="1">
        <v>431798.89</v>
      </c>
      <c r="O14" s="1">
        <v>398466</v>
      </c>
    </row>
    <row r="15" spans="1:15">
      <c r="A15" s="2">
        <v>45778</v>
      </c>
      <c r="B15" s="44">
        <f t="shared" si="0"/>
        <v>0</v>
      </c>
      <c r="C15" s="72">
        <f t="shared" si="3"/>
        <v>3540817</v>
      </c>
      <c r="D15" s="44">
        <f t="shared" si="1"/>
        <v>3142351</v>
      </c>
      <c r="E15" s="1">
        <f t="shared" si="2"/>
        <v>0</v>
      </c>
      <c r="F15" s="1">
        <v>1051978</v>
      </c>
      <c r="G15" s="1"/>
      <c r="H15" s="1">
        <v>1192113</v>
      </c>
      <c r="I15" s="1"/>
      <c r="J15" s="1">
        <v>898260</v>
      </c>
      <c r="K15" s="1"/>
      <c r="L15" s="1"/>
      <c r="N15" s="1">
        <v>431798.89</v>
      </c>
      <c r="O15" s="1">
        <v>398466</v>
      </c>
    </row>
    <row r="16" spans="1:15">
      <c r="A16" s="2">
        <v>45809</v>
      </c>
      <c r="B16" s="44">
        <f t="shared" si="0"/>
        <v>0</v>
      </c>
      <c r="C16" s="72">
        <f t="shared" si="3"/>
        <v>3904934</v>
      </c>
      <c r="D16" s="44">
        <f t="shared" si="1"/>
        <v>3772112</v>
      </c>
      <c r="E16" s="1">
        <f t="shared" si="2"/>
        <v>0</v>
      </c>
      <c r="F16" s="1">
        <v>1733414</v>
      </c>
      <c r="G16" s="1"/>
      <c r="H16" s="1">
        <v>934072</v>
      </c>
      <c r="I16" s="1"/>
      <c r="J16" s="1">
        <v>1104626</v>
      </c>
      <c r="K16" s="1"/>
      <c r="L16" s="1"/>
      <c r="N16" s="1">
        <v>431798.89</v>
      </c>
      <c r="O16" s="44">
        <v>132822</v>
      </c>
    </row>
    <row r="17" spans="1:15">
      <c r="A17" s="2">
        <v>45839</v>
      </c>
      <c r="C17" s="72">
        <f t="shared" si="3"/>
        <v>3630607</v>
      </c>
      <c r="D17" s="44">
        <f t="shared" si="1"/>
        <v>3530607</v>
      </c>
      <c r="E17" s="1"/>
      <c r="F17" s="1">
        <v>1693227</v>
      </c>
      <c r="G17" s="1"/>
      <c r="H17" s="1">
        <v>1069427</v>
      </c>
      <c r="I17" s="1"/>
      <c r="J17" s="1">
        <v>767953</v>
      </c>
      <c r="K17" s="1"/>
      <c r="N17" s="1"/>
      <c r="O17" s="44">
        <v>100000</v>
      </c>
    </row>
    <row r="18" spans="1:15">
      <c r="A18" s="2">
        <v>45870</v>
      </c>
      <c r="C18" s="72">
        <f t="shared" si="3"/>
        <v>3635984</v>
      </c>
      <c r="D18" s="44">
        <f t="shared" si="1"/>
        <v>3535984</v>
      </c>
      <c r="E18" s="1"/>
      <c r="F18" s="1">
        <f>3229068-138134-1550000</f>
        <v>1540934</v>
      </c>
      <c r="G18" s="1"/>
      <c r="H18" s="1">
        <v>1111918</v>
      </c>
      <c r="I18" s="1"/>
      <c r="J18" s="1">
        <v>883132</v>
      </c>
      <c r="O18" s="44">
        <v>100000</v>
      </c>
    </row>
    <row r="19" spans="1:15">
      <c r="A19" s="2">
        <v>45901</v>
      </c>
      <c r="C19" s="74"/>
      <c r="D19" s="44">
        <f t="shared" si="1"/>
        <v>1190934.02</v>
      </c>
      <c r="E19" s="1"/>
      <c r="F19" s="1">
        <v>435140.62</v>
      </c>
      <c r="G19" s="1"/>
      <c r="H19" s="1">
        <v>575996.4</v>
      </c>
      <c r="I19" s="1"/>
      <c r="J19" s="1">
        <v>179797</v>
      </c>
      <c r="O19" s="44">
        <v>100000</v>
      </c>
    </row>
    <row r="20" spans="1:15">
      <c r="A20" s="2">
        <v>45931</v>
      </c>
      <c r="C20" s="74"/>
      <c r="D20" s="44">
        <f t="shared" si="1"/>
        <v>2234961</v>
      </c>
      <c r="E20" s="1"/>
      <c r="F20" s="1">
        <v>1806961</v>
      </c>
      <c r="G20" s="1"/>
      <c r="H20" s="1">
        <v>328000</v>
      </c>
      <c r="I20" s="1"/>
      <c r="J20" s="1">
        <v>100000</v>
      </c>
      <c r="O20" s="44"/>
    </row>
    <row r="21" spans="1:15">
      <c r="A21" s="2"/>
      <c r="C21" s="74"/>
      <c r="D21" s="44"/>
      <c r="E21" s="1"/>
      <c r="F21" s="1"/>
      <c r="G21" s="1"/>
      <c r="H21" s="1"/>
      <c r="I21" s="1"/>
      <c r="J21" s="1"/>
      <c r="O21" s="44"/>
    </row>
    <row r="22" spans="1:15">
      <c r="A22" t="s">
        <v>146</v>
      </c>
      <c r="B22" s="1">
        <f>F22+H22+J22+K22</f>
        <v>121188696.02000001</v>
      </c>
      <c r="C22" s="1">
        <f>F22+H22+J22</f>
        <v>121188696.02000001</v>
      </c>
      <c r="D22" s="1"/>
      <c r="E22" s="1">
        <f>B22-G22-I22-K22</f>
        <v>83817626.020000011</v>
      </c>
      <c r="F22" s="1">
        <f>SUM(F6:F20)</f>
        <v>81744366.620000005</v>
      </c>
      <c r="G22" s="1">
        <v>12226961</v>
      </c>
      <c r="H22" s="1">
        <f>SUM(H6:H20)</f>
        <v>12209904.4</v>
      </c>
      <c r="I22" s="1">
        <f>25144109</f>
        <v>25144109</v>
      </c>
      <c r="J22" s="1">
        <f>SUM(J6:J20)</f>
        <v>27234425</v>
      </c>
      <c r="K22" s="1"/>
      <c r="L22" s="1"/>
      <c r="M22" s="1"/>
      <c r="N22" s="1">
        <v>16710956</v>
      </c>
    </row>
    <row r="23" spans="1:15">
      <c r="E23" s="1"/>
      <c r="F23" s="1"/>
      <c r="G23" s="1"/>
      <c r="H23" s="1"/>
      <c r="I23" s="1"/>
      <c r="J23" s="1"/>
    </row>
    <row r="25" spans="1:15">
      <c r="A25" t="s">
        <v>236</v>
      </c>
    </row>
    <row r="26" spans="1:15">
      <c r="B26" s="1"/>
      <c r="C26" s="1"/>
      <c r="D26" s="1"/>
      <c r="E26" s="45"/>
      <c r="F26" s="45"/>
      <c r="G26" s="45"/>
      <c r="H26" s="45"/>
      <c r="I26" s="45"/>
      <c r="J26" s="45"/>
      <c r="K26" s="45">
        <f>K22-K6</f>
        <v>0</v>
      </c>
      <c r="N26" s="45"/>
    </row>
    <row r="27" spans="1:15">
      <c r="B27" s="46"/>
      <c r="C27" s="46"/>
      <c r="D27" s="46"/>
      <c r="N27" s="46"/>
    </row>
  </sheetData>
  <mergeCells count="1">
    <mergeCell ref="B1:I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83F5A-3B78-E741-8DBB-E8A72FC015F0}">
  <dimension ref="A2:W107"/>
  <sheetViews>
    <sheetView showGridLines="0" tabSelected="1" topLeftCell="C1" zoomScaleNormal="100" workbookViewId="0">
      <pane xSplit="3" ySplit="6" topLeftCell="L7" activePane="bottomRight" state="frozen"/>
      <selection pane="topRight" activeCell="F1" sqref="F1"/>
      <selection pane="bottomLeft" activeCell="C9" sqref="C9"/>
      <selection pane="bottomRight" activeCell="M87" sqref="M87"/>
    </sheetView>
  </sheetViews>
  <sheetFormatPr baseColWidth="10" defaultColWidth="10.83203125" defaultRowHeight="14"/>
  <cols>
    <col min="1" max="1" width="2.33203125" style="665" customWidth="1"/>
    <col min="2" max="2" width="2.83203125" style="665" customWidth="1"/>
    <col min="3" max="3" width="6.1640625" style="665" customWidth="1"/>
    <col min="4" max="4" width="34.33203125" style="665" customWidth="1"/>
    <col min="5" max="5" width="7.1640625" style="665" customWidth="1"/>
    <col min="6" max="6" width="16.33203125" style="665" customWidth="1"/>
    <col min="7" max="7" width="11.1640625" style="783" customWidth="1"/>
    <col min="8" max="8" width="19.33203125" style="665" customWidth="1"/>
    <col min="9" max="9" width="18.6640625" style="665" customWidth="1"/>
    <col min="10" max="10" width="19.33203125" style="665" customWidth="1"/>
    <col min="11" max="12" width="18" style="665" customWidth="1"/>
    <col min="13" max="13" width="10.83203125" style="783" customWidth="1"/>
    <col min="14" max="14" width="22" style="665" customWidth="1"/>
    <col min="15" max="15" width="19.6640625" style="665" customWidth="1"/>
    <col min="16" max="16" width="22.33203125" style="665" customWidth="1"/>
    <col min="17" max="17" width="22.6640625" style="665" customWidth="1"/>
    <col min="18" max="18" width="22.33203125" style="665" customWidth="1"/>
    <col min="19" max="19" width="31.33203125" style="665" customWidth="1"/>
    <col min="20" max="20" width="25.83203125" style="665" customWidth="1"/>
    <col min="21" max="22" width="19.33203125" style="665" customWidth="1"/>
    <col min="23" max="23" width="24.83203125" style="665" customWidth="1"/>
    <col min="24" max="27" width="10.83203125" style="665" customWidth="1"/>
    <col min="28" max="16384" width="10.83203125" style="665"/>
  </cols>
  <sheetData>
    <row r="2" spans="1:23" ht="48" customHeight="1">
      <c r="A2" s="631"/>
      <c r="B2" s="631"/>
      <c r="C2" s="631"/>
      <c r="D2" s="662" t="s">
        <v>0</v>
      </c>
      <c r="E2" s="662"/>
      <c r="F2" s="662"/>
      <c r="G2" s="662"/>
      <c r="H2" s="627" t="s">
        <v>1</v>
      </c>
      <c r="I2" s="663"/>
      <c r="J2" s="663"/>
      <c r="K2" s="663"/>
      <c r="L2" s="663"/>
      <c r="M2" s="663"/>
      <c r="N2" s="663"/>
      <c r="O2" s="663"/>
      <c r="P2" s="664"/>
      <c r="Q2" s="628" t="s">
        <v>2</v>
      </c>
      <c r="R2" s="664"/>
      <c r="S2" s="664"/>
      <c r="T2" s="664"/>
      <c r="U2" s="664"/>
      <c r="V2" s="631"/>
      <c r="W2" s="631"/>
    </row>
    <row r="3" spans="1:23" ht="17" customHeight="1">
      <c r="A3" s="631"/>
      <c r="B3" s="631"/>
      <c r="C3" s="631"/>
      <c r="D3" s="631"/>
      <c r="E3" s="631"/>
      <c r="F3" s="631"/>
      <c r="G3" s="631"/>
      <c r="H3" s="631"/>
      <c r="I3" s="631"/>
      <c r="J3" s="631"/>
      <c r="K3" s="631"/>
      <c r="L3" s="631"/>
      <c r="M3" s="631"/>
      <c r="N3" s="631"/>
      <c r="O3" s="631"/>
      <c r="P3" s="631"/>
      <c r="Q3" s="631"/>
      <c r="R3" s="631"/>
      <c r="S3" s="631"/>
      <c r="T3" s="631"/>
      <c r="U3" s="631"/>
      <c r="V3" s="631"/>
      <c r="W3" s="631"/>
    </row>
    <row r="4" spans="1:23" ht="24" customHeight="1">
      <c r="A4" s="631"/>
      <c r="B4" s="631"/>
      <c r="C4" s="666" t="s">
        <v>3</v>
      </c>
      <c r="D4" s="667" t="s">
        <v>4</v>
      </c>
      <c r="E4" s="668"/>
      <c r="F4" s="667"/>
      <c r="G4" s="667"/>
      <c r="H4" s="669" t="s">
        <v>5</v>
      </c>
      <c r="I4" s="669"/>
      <c r="J4" s="669"/>
      <c r="K4" s="669"/>
      <c r="L4" s="669"/>
      <c r="M4" s="669"/>
      <c r="N4" s="669"/>
      <c r="O4" s="669"/>
      <c r="P4" s="668"/>
      <c r="Q4" s="670" t="s">
        <v>6</v>
      </c>
      <c r="R4" s="670"/>
      <c r="S4" s="670" t="s">
        <v>7</v>
      </c>
      <c r="T4" s="670"/>
      <c r="U4" s="667"/>
      <c r="V4" s="631"/>
      <c r="W4" s="631"/>
    </row>
    <row r="5" spans="1:23" s="680" customFormat="1" ht="32" customHeight="1">
      <c r="A5" s="671"/>
      <c r="B5" s="671"/>
      <c r="C5" s="671"/>
      <c r="D5" s="672"/>
      <c r="E5" s="672"/>
      <c r="F5" s="673" t="s">
        <v>8</v>
      </c>
      <c r="G5" s="673"/>
      <c r="H5" s="674"/>
      <c r="I5" s="674"/>
      <c r="J5" s="675" t="s">
        <v>9</v>
      </c>
      <c r="K5" s="676"/>
      <c r="L5" s="676"/>
      <c r="M5" s="676"/>
      <c r="N5" s="676"/>
      <c r="O5" s="677" t="s">
        <v>10</v>
      </c>
      <c r="P5" s="672"/>
      <c r="Q5" s="678" t="s">
        <v>11</v>
      </c>
      <c r="R5" s="672" t="s">
        <v>12</v>
      </c>
      <c r="S5" s="672" t="s">
        <v>13</v>
      </c>
      <c r="T5" s="672" t="s">
        <v>237</v>
      </c>
      <c r="U5" s="679" t="s">
        <v>10</v>
      </c>
      <c r="V5" s="671"/>
      <c r="W5" s="671"/>
    </row>
    <row r="6" spans="1:23" ht="47" customHeight="1" thickBot="1">
      <c r="A6" s="631"/>
      <c r="B6" s="631"/>
      <c r="C6" s="631"/>
      <c r="D6" s="681" t="s">
        <v>14</v>
      </c>
      <c r="E6" s="682" t="s">
        <v>15</v>
      </c>
      <c r="F6" s="681" t="s">
        <v>16</v>
      </c>
      <c r="G6" s="681"/>
      <c r="H6" s="681" t="s">
        <v>17</v>
      </c>
      <c r="I6" s="681" t="s">
        <v>18</v>
      </c>
      <c r="J6" s="681" t="s">
        <v>19</v>
      </c>
      <c r="K6" s="681" t="s">
        <v>20</v>
      </c>
      <c r="L6" s="681" t="s">
        <v>21</v>
      </c>
      <c r="M6" s="681"/>
      <c r="N6" s="681" t="s">
        <v>22</v>
      </c>
      <c r="O6" s="681" t="s">
        <v>23</v>
      </c>
      <c r="P6" s="683"/>
      <c r="Q6" s="681" t="s">
        <v>24</v>
      </c>
      <c r="R6" s="684" t="s">
        <v>25</v>
      </c>
      <c r="S6" s="684" t="s">
        <v>26</v>
      </c>
      <c r="T6" s="681" t="s">
        <v>238</v>
      </c>
      <c r="U6" s="681" t="s">
        <v>239</v>
      </c>
      <c r="V6" s="631"/>
      <c r="W6" s="631"/>
    </row>
    <row r="7" spans="1:23" ht="17" customHeight="1">
      <c r="A7" s="631"/>
      <c r="B7" s="631"/>
      <c r="C7" s="631"/>
      <c r="D7" s="631"/>
      <c r="E7" s="651"/>
      <c r="F7" s="631"/>
      <c r="G7" s="631"/>
      <c r="H7" s="631"/>
      <c r="I7" s="631"/>
      <c r="J7" s="631"/>
      <c r="K7" s="631"/>
      <c r="L7" s="631"/>
      <c r="M7" s="631"/>
      <c r="N7" s="631"/>
      <c r="O7" s="631"/>
      <c r="P7" s="631"/>
      <c r="Q7" s="631"/>
      <c r="R7" s="631"/>
      <c r="S7" s="631"/>
      <c r="T7" s="631"/>
      <c r="U7" s="631"/>
      <c r="V7" s="631"/>
      <c r="W7" s="631"/>
    </row>
    <row r="8" spans="1:23" ht="18" customHeight="1">
      <c r="A8" s="631"/>
      <c r="B8" s="631"/>
      <c r="C8" s="631"/>
      <c r="D8" s="630" t="s">
        <v>27</v>
      </c>
      <c r="E8" s="685"/>
      <c r="F8" s="630"/>
      <c r="G8" s="630"/>
      <c r="H8" s="630"/>
      <c r="I8" s="630"/>
      <c r="J8" s="630"/>
      <c r="K8" s="630"/>
      <c r="L8" s="630"/>
      <c r="M8" s="630"/>
      <c r="N8" s="630"/>
      <c r="O8" s="630"/>
      <c r="P8" s="634"/>
      <c r="Q8" s="686"/>
      <c r="R8" s="686"/>
      <c r="S8" s="686"/>
      <c r="T8" s="686"/>
      <c r="U8" s="686"/>
      <c r="V8" s="631"/>
      <c r="W8" s="631"/>
    </row>
    <row r="9" spans="1:23" ht="18" customHeight="1">
      <c r="A9" s="631"/>
      <c r="B9" s="631"/>
      <c r="C9" s="631"/>
      <c r="D9" s="661"/>
      <c r="E9" s="687"/>
      <c r="F9" s="661"/>
      <c r="G9" s="661"/>
      <c r="H9" s="661"/>
      <c r="I9" s="661"/>
      <c r="J9" s="661"/>
      <c r="K9" s="661"/>
      <c r="L9" s="661"/>
      <c r="M9" s="661"/>
      <c r="N9" s="661"/>
      <c r="O9" s="661"/>
      <c r="P9" s="631"/>
      <c r="Q9" s="688"/>
      <c r="R9" s="688"/>
      <c r="S9" s="688"/>
      <c r="T9" s="688"/>
      <c r="U9" s="688"/>
      <c r="V9" s="631"/>
      <c r="W9" s="631"/>
    </row>
    <row r="10" spans="1:23" ht="21" customHeight="1">
      <c r="A10" s="631"/>
      <c r="B10" s="631"/>
      <c r="C10" s="631"/>
      <c r="D10" s="631" t="s">
        <v>28</v>
      </c>
      <c r="E10" s="651"/>
      <c r="F10" s="637">
        <v>14814554</v>
      </c>
      <c r="G10" s="637"/>
      <c r="H10" s="637">
        <v>8723948</v>
      </c>
      <c r="I10" s="637">
        <v>711925.67083333619</v>
      </c>
      <c r="J10" s="637">
        <v>-0.32916666381061083</v>
      </c>
      <c r="K10" s="637"/>
      <c r="L10" s="637">
        <v>0</v>
      </c>
      <c r="M10" s="637"/>
      <c r="N10" s="637">
        <v>0</v>
      </c>
      <c r="O10" s="637"/>
      <c r="P10" s="637"/>
      <c r="Q10" s="637"/>
      <c r="R10" s="637"/>
      <c r="S10" s="637"/>
      <c r="T10" s="637"/>
      <c r="U10" s="637"/>
      <c r="V10" s="631"/>
      <c r="W10" s="631"/>
    </row>
    <row r="11" spans="1:23" ht="29" customHeight="1">
      <c r="A11" s="631"/>
      <c r="B11" s="631"/>
      <c r="C11" s="631"/>
      <c r="D11" s="633" t="s">
        <v>29</v>
      </c>
      <c r="E11" s="652"/>
      <c r="F11" s="638"/>
      <c r="G11" s="638"/>
      <c r="H11" s="638"/>
      <c r="I11" s="638"/>
      <c r="J11" s="638"/>
      <c r="K11" s="638"/>
      <c r="L11" s="638"/>
      <c r="M11" s="638"/>
      <c r="N11" s="638"/>
      <c r="O11" s="638"/>
      <c r="P11" s="639"/>
      <c r="Q11" s="640"/>
      <c r="R11" s="638"/>
      <c r="S11" s="638"/>
      <c r="T11" s="638"/>
      <c r="U11" s="638"/>
      <c r="V11" s="631"/>
      <c r="W11" s="631"/>
    </row>
    <row r="12" spans="1:23" ht="21" customHeight="1">
      <c r="A12" s="631"/>
      <c r="B12" s="631"/>
      <c r="C12" s="631"/>
      <c r="D12" s="689" t="s">
        <v>30</v>
      </c>
      <c r="E12" s="690"/>
      <c r="F12" s="691">
        <v>-4320606</v>
      </c>
      <c r="G12" s="691"/>
      <c r="H12" s="691">
        <v>-6261022.3291666638</v>
      </c>
      <c r="I12" s="691">
        <v>-6361022.3291666638</v>
      </c>
      <c r="J12" s="691">
        <v>-7002685.3291666638</v>
      </c>
      <c r="K12" s="691">
        <v>-5026592.8125</v>
      </c>
      <c r="L12" s="691">
        <v>-1098625</v>
      </c>
      <c r="M12" s="691"/>
      <c r="N12" s="691">
        <v>-1670000</v>
      </c>
      <c r="O12" s="691">
        <v>-31740553.79999999</v>
      </c>
      <c r="P12" s="691"/>
      <c r="Q12" s="691">
        <v>-1341458.0800000089</v>
      </c>
      <c r="R12" s="691">
        <f>Q12</f>
        <v>-1341458.0800000089</v>
      </c>
      <c r="S12" s="691">
        <v>-2541213</v>
      </c>
      <c r="T12" s="691">
        <f>R12+S12</f>
        <v>-3882671.0800000089</v>
      </c>
      <c r="U12" s="691"/>
      <c r="V12" s="631"/>
      <c r="W12" s="631"/>
    </row>
    <row r="13" spans="1:23" ht="20.25" customHeight="1">
      <c r="A13" s="631"/>
      <c r="B13" s="631"/>
      <c r="C13" s="631"/>
      <c r="D13" s="692" t="s">
        <v>31</v>
      </c>
      <c r="E13" s="693"/>
      <c r="F13" s="694"/>
      <c r="G13" s="694"/>
      <c r="H13" s="694"/>
      <c r="I13" s="694"/>
      <c r="J13" s="694"/>
      <c r="K13" s="694"/>
      <c r="L13" s="694"/>
      <c r="M13" s="694"/>
      <c r="N13" s="694"/>
      <c r="O13" s="694">
        <v>0</v>
      </c>
      <c r="P13" s="694"/>
      <c r="Q13" s="694"/>
      <c r="R13" s="694">
        <f>Q13</f>
        <v>0</v>
      </c>
      <c r="S13" s="694">
        <v>-1050000</v>
      </c>
      <c r="T13" s="694"/>
      <c r="U13" s="694"/>
      <c r="V13" s="631"/>
      <c r="W13" s="631"/>
    </row>
    <row r="14" spans="1:23" ht="21" customHeight="1">
      <c r="A14" s="631"/>
      <c r="B14" s="631"/>
      <c r="C14" s="631"/>
      <c r="D14" s="695" t="s">
        <v>32</v>
      </c>
      <c r="E14" s="696"/>
      <c r="F14" s="697"/>
      <c r="G14" s="697"/>
      <c r="H14" s="697"/>
      <c r="I14" s="697"/>
      <c r="J14" s="697"/>
      <c r="K14" s="697"/>
      <c r="L14" s="697"/>
      <c r="M14" s="697"/>
      <c r="N14" s="697"/>
      <c r="O14" s="697">
        <v>0</v>
      </c>
      <c r="P14" s="697"/>
      <c r="Q14" s="697"/>
      <c r="R14" s="697">
        <f>Q14</f>
        <v>0</v>
      </c>
      <c r="S14" s="697">
        <v>-1500000</v>
      </c>
      <c r="T14" s="697"/>
      <c r="U14" s="697"/>
      <c r="V14" s="631"/>
      <c r="W14" s="631"/>
    </row>
    <row r="15" spans="1:23" ht="21" customHeight="1">
      <c r="A15" s="631"/>
      <c r="B15" s="631"/>
      <c r="C15" s="631"/>
      <c r="D15" s="631"/>
      <c r="E15" s="651"/>
      <c r="F15" s="637"/>
      <c r="G15" s="637"/>
      <c r="H15" s="637"/>
      <c r="I15" s="637"/>
      <c r="J15" s="637"/>
      <c r="K15" s="637"/>
      <c r="L15" s="637"/>
      <c r="M15" s="637"/>
      <c r="N15" s="637"/>
      <c r="O15" s="637"/>
      <c r="P15" s="637"/>
      <c r="Q15" s="637"/>
      <c r="R15" s="637"/>
      <c r="S15" s="637"/>
      <c r="T15" s="637"/>
      <c r="U15" s="637"/>
      <c r="V15" s="631"/>
      <c r="W15" s="631"/>
    </row>
    <row r="16" spans="1:23" ht="21" customHeight="1">
      <c r="A16" s="631"/>
      <c r="B16" s="631"/>
      <c r="C16" s="631"/>
      <c r="D16" s="629" t="s">
        <v>33</v>
      </c>
      <c r="E16" s="653"/>
      <c r="F16" s="641"/>
      <c r="G16" s="641"/>
      <c r="H16" s="641"/>
      <c r="I16" s="641"/>
      <c r="J16" s="641"/>
      <c r="K16" s="641"/>
      <c r="L16" s="641"/>
      <c r="M16" s="641"/>
      <c r="N16" s="641"/>
      <c r="O16" s="641"/>
      <c r="P16" s="641"/>
      <c r="Q16" s="643"/>
      <c r="R16" s="643"/>
      <c r="S16" s="643"/>
      <c r="T16" s="643"/>
      <c r="U16" s="643"/>
      <c r="V16" s="631"/>
      <c r="W16" s="631"/>
    </row>
    <row r="17" spans="1:23" ht="22" customHeight="1">
      <c r="A17" s="631"/>
      <c r="B17" s="631"/>
      <c r="C17" s="631"/>
      <c r="D17" s="689" t="s">
        <v>34</v>
      </c>
      <c r="E17" s="690"/>
      <c r="F17" s="691"/>
      <c r="G17" s="691"/>
      <c r="H17" s="691"/>
      <c r="I17" s="691"/>
      <c r="J17" s="691"/>
      <c r="K17" s="691"/>
      <c r="L17" s="691"/>
      <c r="M17" s="691"/>
      <c r="N17" s="691"/>
      <c r="O17" s="691">
        <v>0</v>
      </c>
      <c r="P17" s="691"/>
      <c r="Q17" s="691"/>
      <c r="R17" s="691">
        <f t="shared" ref="R17:R26" si="0">Q17</f>
        <v>0</v>
      </c>
      <c r="S17" s="691">
        <v>-4000000</v>
      </c>
      <c r="T17" s="691">
        <f>S17</f>
        <v>-4000000</v>
      </c>
      <c r="U17" s="691"/>
      <c r="V17" s="631"/>
      <c r="W17" s="631"/>
    </row>
    <row r="18" spans="1:23" ht="22" customHeight="1">
      <c r="A18" s="631"/>
      <c r="B18" s="631"/>
      <c r="C18" s="631"/>
      <c r="D18" s="698" t="s">
        <v>35</v>
      </c>
      <c r="E18" s="693"/>
      <c r="F18" s="694">
        <v>-340000</v>
      </c>
      <c r="G18" s="694"/>
      <c r="H18" s="694">
        <v>-400000</v>
      </c>
      <c r="I18" s="694">
        <v>-550000</v>
      </c>
      <c r="J18" s="694">
        <v>-1150000</v>
      </c>
      <c r="K18" s="694">
        <v>-1110000</v>
      </c>
      <c r="L18" s="694">
        <v>-1110000</v>
      </c>
      <c r="M18" s="694"/>
      <c r="N18" s="694">
        <v>-980000</v>
      </c>
      <c r="O18" s="694">
        <v>-5640000</v>
      </c>
      <c r="P18" s="694"/>
      <c r="Q18" s="694">
        <f>Q19+Q20</f>
        <v>-1836000</v>
      </c>
      <c r="R18" s="694">
        <f t="shared" si="0"/>
        <v>-1836000</v>
      </c>
      <c r="S18" s="694">
        <f>S19+S20</f>
        <v>-225000</v>
      </c>
      <c r="T18" s="694">
        <f>S18+R18</f>
        <v>-2061000</v>
      </c>
      <c r="U18" s="694"/>
      <c r="V18" s="631"/>
      <c r="W18" s="631"/>
    </row>
    <row r="19" spans="1:23" ht="21" customHeight="1">
      <c r="A19" s="631"/>
      <c r="B19" s="631"/>
      <c r="C19" s="631"/>
      <c r="D19" s="692" t="s">
        <v>36</v>
      </c>
      <c r="E19" s="693"/>
      <c r="F19" s="694">
        <v>-160000</v>
      </c>
      <c r="G19" s="694"/>
      <c r="H19" s="694">
        <v>-190000</v>
      </c>
      <c r="I19" s="694">
        <v>-290000</v>
      </c>
      <c r="J19" s="694">
        <v>-890000</v>
      </c>
      <c r="K19" s="694">
        <v>-850000</v>
      </c>
      <c r="L19" s="694">
        <v>-850000</v>
      </c>
      <c r="M19" s="694"/>
      <c r="N19" s="694">
        <v>-850000</v>
      </c>
      <c r="O19" s="694">
        <v>-4080000</v>
      </c>
      <c r="P19" s="694"/>
      <c r="Q19" s="694">
        <v>-1700000</v>
      </c>
      <c r="R19" s="694">
        <f t="shared" si="0"/>
        <v>-1700000</v>
      </c>
      <c r="S19" s="694">
        <v>0</v>
      </c>
      <c r="T19" s="694"/>
      <c r="U19" s="694"/>
      <c r="V19" s="631"/>
      <c r="W19" s="631"/>
    </row>
    <row r="20" spans="1:23" ht="21" customHeight="1">
      <c r="A20" s="631"/>
      <c r="B20" s="631"/>
      <c r="C20" s="631"/>
      <c r="D20" s="692" t="s">
        <v>37</v>
      </c>
      <c r="E20" s="693"/>
      <c r="F20" s="694">
        <v>-180000</v>
      </c>
      <c r="G20" s="694"/>
      <c r="H20" s="694">
        <v>-210000</v>
      </c>
      <c r="I20" s="694">
        <v>-260000</v>
      </c>
      <c r="J20" s="694">
        <v>-260000</v>
      </c>
      <c r="K20" s="694">
        <v>-260000</v>
      </c>
      <c r="L20" s="694">
        <v>-260000</v>
      </c>
      <c r="M20" s="694"/>
      <c r="N20" s="694">
        <v>-130000</v>
      </c>
      <c r="O20" s="694">
        <v>-1560000</v>
      </c>
      <c r="P20" s="694"/>
      <c r="Q20" s="694">
        <v>-136000</v>
      </c>
      <c r="R20" s="694">
        <f t="shared" si="0"/>
        <v>-136000</v>
      </c>
      <c r="S20" s="694">
        <v>-225000</v>
      </c>
      <c r="T20" s="694"/>
      <c r="U20" s="694"/>
      <c r="V20" s="631"/>
      <c r="W20" s="631"/>
    </row>
    <row r="21" spans="1:23" ht="21" customHeight="1">
      <c r="A21" s="631"/>
      <c r="B21" s="631"/>
      <c r="C21" s="631"/>
      <c r="D21" s="692" t="s">
        <v>38</v>
      </c>
      <c r="E21" s="693"/>
      <c r="F21" s="694"/>
      <c r="G21" s="694"/>
      <c r="H21" s="694"/>
      <c r="I21" s="694"/>
      <c r="J21" s="694"/>
      <c r="K21" s="694"/>
      <c r="L21" s="694"/>
      <c r="M21" s="694"/>
      <c r="N21" s="694"/>
      <c r="O21" s="694">
        <v>0</v>
      </c>
      <c r="P21" s="694"/>
      <c r="Q21" s="694">
        <v>0</v>
      </c>
      <c r="R21" s="694">
        <f t="shared" si="0"/>
        <v>0</v>
      </c>
      <c r="S21" s="699">
        <v>0</v>
      </c>
      <c r="T21" s="700"/>
      <c r="U21" s="694"/>
      <c r="V21" s="631"/>
      <c r="W21" s="631"/>
    </row>
    <row r="22" spans="1:23" ht="22" customHeight="1">
      <c r="A22" s="631"/>
      <c r="B22" s="631"/>
      <c r="C22" s="631"/>
      <c r="D22" s="698" t="s">
        <v>39</v>
      </c>
      <c r="E22" s="693"/>
      <c r="F22" s="694"/>
      <c r="G22" s="694"/>
      <c r="H22" s="694"/>
      <c r="I22" s="694"/>
      <c r="J22" s="694"/>
      <c r="K22" s="694"/>
      <c r="L22" s="694"/>
      <c r="M22" s="694"/>
      <c r="N22" s="694"/>
      <c r="O22" s="694">
        <v>0</v>
      </c>
      <c r="P22" s="694"/>
      <c r="Q22" s="700">
        <v>0</v>
      </c>
      <c r="R22" s="694">
        <f t="shared" si="0"/>
        <v>0</v>
      </c>
      <c r="S22" s="694">
        <v>-1500000</v>
      </c>
      <c r="T22" s="694">
        <f>S22</f>
        <v>-1500000</v>
      </c>
      <c r="U22" s="694"/>
      <c r="V22" s="631"/>
      <c r="W22" s="631"/>
    </row>
    <row r="23" spans="1:23" ht="22" customHeight="1">
      <c r="A23" s="631"/>
      <c r="B23" s="631"/>
      <c r="C23" s="631"/>
      <c r="D23" s="698" t="s">
        <v>40</v>
      </c>
      <c r="E23" s="693"/>
      <c r="F23" s="694">
        <v>-1150000</v>
      </c>
      <c r="G23" s="694"/>
      <c r="H23" s="694">
        <v>-1071000</v>
      </c>
      <c r="I23" s="694">
        <v>-350000</v>
      </c>
      <c r="J23" s="694">
        <v>-150000</v>
      </c>
      <c r="K23" s="694">
        <v>0</v>
      </c>
      <c r="L23" s="694">
        <v>0</v>
      </c>
      <c r="M23" s="694"/>
      <c r="N23" s="694">
        <v>0</v>
      </c>
      <c r="O23" s="694">
        <v>-2721000</v>
      </c>
      <c r="P23" s="694"/>
      <c r="Q23" s="694">
        <v>-851987</v>
      </c>
      <c r="R23" s="694">
        <f t="shared" si="0"/>
        <v>-851987</v>
      </c>
      <c r="S23" s="694">
        <v>-395295</v>
      </c>
      <c r="T23" s="694">
        <f>S23</f>
        <v>-395295</v>
      </c>
      <c r="U23" s="694"/>
      <c r="V23" s="631"/>
      <c r="W23" s="631"/>
    </row>
    <row r="24" spans="1:23" ht="21" customHeight="1">
      <c r="A24" s="631"/>
      <c r="B24" s="631"/>
      <c r="C24" s="631"/>
      <c r="D24" s="698" t="s">
        <v>41</v>
      </c>
      <c r="E24" s="693"/>
      <c r="F24" s="694"/>
      <c r="G24" s="694"/>
      <c r="H24" s="694"/>
      <c r="I24" s="694"/>
      <c r="J24" s="694"/>
      <c r="K24" s="694"/>
      <c r="L24" s="694"/>
      <c r="M24" s="694"/>
      <c r="N24" s="694"/>
      <c r="O24" s="694">
        <v>0</v>
      </c>
      <c r="P24" s="694"/>
      <c r="Q24" s="694">
        <v>-1143556</v>
      </c>
      <c r="R24" s="694">
        <f t="shared" si="0"/>
        <v>-1143556</v>
      </c>
      <c r="S24" s="694">
        <v>-703531</v>
      </c>
      <c r="T24" s="694">
        <f>S24</f>
        <v>-703531</v>
      </c>
      <c r="U24" s="694"/>
      <c r="V24" s="631"/>
      <c r="W24" s="631"/>
    </row>
    <row r="25" spans="1:23" ht="22" customHeight="1">
      <c r="A25" s="631"/>
      <c r="B25" s="631"/>
      <c r="C25" s="631"/>
      <c r="D25" s="698" t="s">
        <v>42</v>
      </c>
      <c r="E25" s="693"/>
      <c r="F25" s="694"/>
      <c r="G25" s="694"/>
      <c r="H25" s="694">
        <v>0</v>
      </c>
      <c r="I25" s="694">
        <v>0</v>
      </c>
      <c r="J25" s="694">
        <v>0</v>
      </c>
      <c r="K25" s="694">
        <v>-3000000</v>
      </c>
      <c r="L25" s="694">
        <v>0</v>
      </c>
      <c r="M25" s="694"/>
      <c r="N25" s="694">
        <v>0</v>
      </c>
      <c r="O25" s="694">
        <v>-3000000</v>
      </c>
      <c r="P25" s="694"/>
      <c r="Q25" s="694">
        <v>-1049140</v>
      </c>
      <c r="R25" s="694">
        <f t="shared" si="0"/>
        <v>-1049140</v>
      </c>
      <c r="S25" s="694">
        <v>-3375964</v>
      </c>
      <c r="T25" s="694">
        <f>S25</f>
        <v>-3375964</v>
      </c>
      <c r="U25" s="694"/>
      <c r="V25" s="631"/>
      <c r="W25" s="631"/>
    </row>
    <row r="26" spans="1:23" ht="22" customHeight="1" thickBot="1">
      <c r="A26" s="631"/>
      <c r="B26" s="631"/>
      <c r="C26" s="631"/>
      <c r="D26" s="698" t="s">
        <v>43</v>
      </c>
      <c r="E26" s="693"/>
      <c r="F26" s="694">
        <v>-280000</v>
      </c>
      <c r="G26" s="694"/>
      <c r="H26" s="694">
        <v>-280000</v>
      </c>
      <c r="I26" s="694">
        <v>-280000</v>
      </c>
      <c r="J26" s="694">
        <v>-280000</v>
      </c>
      <c r="K26" s="694">
        <v>0</v>
      </c>
      <c r="L26" s="694">
        <v>0</v>
      </c>
      <c r="M26" s="694"/>
      <c r="N26" s="694">
        <v>0</v>
      </c>
      <c r="O26" s="694">
        <v>-1120000</v>
      </c>
      <c r="P26" s="694"/>
      <c r="Q26" s="694">
        <v>373300</v>
      </c>
      <c r="R26" s="694">
        <f t="shared" si="0"/>
        <v>373300</v>
      </c>
      <c r="S26" s="694">
        <v>-5770000</v>
      </c>
      <c r="T26" s="694">
        <f>S26</f>
        <v>-5770000</v>
      </c>
      <c r="U26" s="694"/>
      <c r="V26" s="631"/>
      <c r="W26" s="631"/>
    </row>
    <row r="27" spans="1:23" ht="22" customHeight="1" thickBot="1">
      <c r="A27" s="631"/>
      <c r="B27" s="631"/>
      <c r="C27" s="631"/>
      <c r="D27" s="636" t="s">
        <v>44</v>
      </c>
      <c r="E27" s="654"/>
      <c r="F27" s="642">
        <v>-6090606</v>
      </c>
      <c r="G27" s="642"/>
      <c r="H27" s="642">
        <v>-8012022.3291666638</v>
      </c>
      <c r="I27" s="642">
        <v>-7541022.3291666638</v>
      </c>
      <c r="J27" s="642">
        <v>-8582685.3291666638</v>
      </c>
      <c r="K27" s="642">
        <v>-9136592.8125</v>
      </c>
      <c r="L27" s="642">
        <v>-2208625</v>
      </c>
      <c r="M27" s="642"/>
      <c r="N27" s="642">
        <v>-2650000</v>
      </c>
      <c r="O27" s="642">
        <v>-44221553.79999999</v>
      </c>
      <c r="P27" s="642"/>
      <c r="Q27" s="642">
        <f>Q12+Q13+Q14+Q17+Q18+Q21+Q22+Q23+Q24+Q25+Q26</f>
        <v>-5848841.0800000094</v>
      </c>
      <c r="R27" s="642">
        <f>R12+R13+R14+R17+R18+R21+R22+R23+R24+R25+R26</f>
        <v>-5848841.0800000094</v>
      </c>
      <c r="S27" s="642">
        <f>S12+S13+S14+S17+S18+S19+S20+S21+S22+S23+S24+S25+S26</f>
        <v>-21286003</v>
      </c>
      <c r="T27" s="642">
        <f>S27+R27</f>
        <v>-27134844.080000009</v>
      </c>
      <c r="U27" s="642"/>
      <c r="V27" s="631"/>
      <c r="W27" s="631"/>
    </row>
    <row r="28" spans="1:23" ht="20" customHeight="1" thickTop="1">
      <c r="A28" s="631"/>
      <c r="B28" s="631"/>
      <c r="C28" s="631"/>
      <c r="D28" s="631"/>
      <c r="E28" s="651"/>
      <c r="F28" s="631"/>
      <c r="G28" s="631"/>
      <c r="H28" s="631"/>
      <c r="I28" s="631"/>
      <c r="J28" s="631"/>
      <c r="K28" s="631"/>
      <c r="L28" s="631"/>
      <c r="M28" s="631"/>
      <c r="N28" s="631"/>
      <c r="O28" s="631"/>
      <c r="P28" s="631"/>
      <c r="Q28" s="688"/>
      <c r="R28" s="688"/>
      <c r="S28" s="688"/>
      <c r="T28" s="688"/>
      <c r="U28" s="688"/>
      <c r="V28" s="631"/>
      <c r="W28" s="631"/>
    </row>
    <row r="29" spans="1:23" ht="18" customHeight="1">
      <c r="A29" s="631"/>
      <c r="B29" s="631"/>
      <c r="C29" s="631"/>
      <c r="D29" s="629" t="s">
        <v>45</v>
      </c>
      <c r="E29" s="655"/>
      <c r="F29" s="644"/>
      <c r="G29" s="644"/>
      <c r="H29" s="644"/>
      <c r="I29" s="644"/>
      <c r="J29" s="644"/>
      <c r="K29" s="644"/>
      <c r="L29" s="644"/>
      <c r="M29" s="644"/>
      <c r="N29" s="644"/>
      <c r="O29" s="644"/>
      <c r="P29" s="641"/>
      <c r="Q29" s="644"/>
      <c r="R29" s="644"/>
      <c r="S29" s="644"/>
      <c r="T29" s="644"/>
      <c r="U29" s="644"/>
      <c r="V29" s="631"/>
      <c r="W29" s="631"/>
    </row>
    <row r="30" spans="1:23" ht="21" customHeight="1">
      <c r="A30" s="631"/>
      <c r="B30" s="631"/>
      <c r="C30" s="631"/>
      <c r="D30" s="689" t="s">
        <v>46</v>
      </c>
      <c r="E30" s="690"/>
      <c r="F30" s="691">
        <v>6090606</v>
      </c>
      <c r="G30" s="691"/>
      <c r="H30" s="691">
        <v>8012022</v>
      </c>
      <c r="I30" s="691">
        <v>711926</v>
      </c>
      <c r="J30" s="691">
        <v>0</v>
      </c>
      <c r="K30" s="691">
        <v>0</v>
      </c>
      <c r="L30" s="691">
        <v>0</v>
      </c>
      <c r="M30" s="691"/>
      <c r="N30" s="691">
        <v>0</v>
      </c>
      <c r="O30" s="691">
        <v>14814554</v>
      </c>
      <c r="P30" s="691"/>
      <c r="Q30" s="691"/>
      <c r="R30" s="691"/>
      <c r="S30" s="701"/>
      <c r="T30" s="701"/>
      <c r="U30" s="691"/>
      <c r="V30" s="631"/>
      <c r="W30" s="631"/>
    </row>
    <row r="31" spans="1:23" ht="21" customHeight="1">
      <c r="A31" s="631"/>
      <c r="B31" s="631"/>
      <c r="C31" s="631"/>
      <c r="D31" s="698" t="s">
        <v>47</v>
      </c>
      <c r="E31" s="693"/>
      <c r="F31" s="694"/>
      <c r="G31" s="694"/>
      <c r="H31" s="694"/>
      <c r="I31" s="694"/>
      <c r="J31" s="694"/>
      <c r="K31" s="694"/>
      <c r="L31" s="694"/>
      <c r="M31" s="694"/>
      <c r="N31" s="694"/>
      <c r="O31" s="694">
        <v>0</v>
      </c>
      <c r="P31" s="694"/>
      <c r="Q31" s="694"/>
      <c r="R31" s="694"/>
      <c r="S31" s="694">
        <v>4430118</v>
      </c>
      <c r="T31" s="694">
        <f>Q31+S31</f>
        <v>4430118</v>
      </c>
      <c r="U31" s="694">
        <f>'[1]BC Rev TL CF'!W31</f>
        <v>3120000</v>
      </c>
      <c r="V31" s="631"/>
      <c r="W31" s="631"/>
    </row>
    <row r="32" spans="1:23" ht="21" customHeight="1">
      <c r="A32" s="631"/>
      <c r="B32" s="631"/>
      <c r="C32" s="631"/>
      <c r="D32" s="698" t="s">
        <v>48</v>
      </c>
      <c r="E32" s="693"/>
      <c r="F32" s="694"/>
      <c r="G32" s="694"/>
      <c r="H32" s="694"/>
      <c r="I32" s="694">
        <v>6829096.3291666638</v>
      </c>
      <c r="J32" s="694">
        <v>8582685.3291666638</v>
      </c>
      <c r="K32" s="694">
        <v>9136592.8125</v>
      </c>
      <c r="L32" s="694">
        <v>2208625</v>
      </c>
      <c r="M32" s="694"/>
      <c r="N32" s="694">
        <v>2650000</v>
      </c>
      <c r="O32" s="694">
        <v>29406999.470833331</v>
      </c>
      <c r="P32" s="694"/>
      <c r="Q32" s="694"/>
      <c r="R32" s="694"/>
      <c r="S32" s="700"/>
      <c r="T32" s="694">
        <f>Q32+S32</f>
        <v>0</v>
      </c>
      <c r="U32" s="694"/>
      <c r="V32" s="631"/>
      <c r="W32" s="631"/>
    </row>
    <row r="33" spans="1:23" ht="21" customHeight="1">
      <c r="A33" s="631"/>
      <c r="B33" s="631"/>
      <c r="C33" s="631"/>
      <c r="D33" s="692" t="s">
        <v>49</v>
      </c>
      <c r="E33" s="702">
        <v>0.52</v>
      </c>
      <c r="F33" s="694"/>
      <c r="G33" s="694"/>
      <c r="H33" s="694">
        <v>0</v>
      </c>
      <c r="I33" s="694">
        <v>3551130.0911666648</v>
      </c>
      <c r="J33" s="694">
        <v>4462996.3711666651</v>
      </c>
      <c r="K33" s="694">
        <v>4751028.2625000002</v>
      </c>
      <c r="L33" s="694">
        <v>1148485</v>
      </c>
      <c r="M33" s="694"/>
      <c r="N33" s="694">
        <v>1378000</v>
      </c>
      <c r="O33" s="694">
        <v>15291639.72483333</v>
      </c>
      <c r="P33" s="694"/>
      <c r="Q33" s="694">
        <f>'[1]BC Rev TL CF'!AD33</f>
        <v>5738338.9510000004</v>
      </c>
      <c r="R33" s="700"/>
      <c r="S33" s="694">
        <f>'[1]BC Rev TL CF'!W32+'[1]BC Rev TL CF'!X32+'[1]BC Rev TL CF'!Z32</f>
        <v>2383261</v>
      </c>
      <c r="T33" s="694">
        <f>Q33+S33</f>
        <v>8121599.9510000004</v>
      </c>
      <c r="U33" s="694">
        <f>(T27+T31+U31)*0.52*-1-T33</f>
        <v>2062457.6106000049</v>
      </c>
      <c r="V33" s="631"/>
      <c r="W33" s="631"/>
    </row>
    <row r="34" spans="1:23" ht="21" customHeight="1" thickBot="1">
      <c r="A34" s="631"/>
      <c r="B34" s="631"/>
      <c r="C34" s="631"/>
      <c r="D34" s="692" t="s">
        <v>242</v>
      </c>
      <c r="E34" s="702">
        <v>0.48</v>
      </c>
      <c r="F34" s="694"/>
      <c r="G34" s="694"/>
      <c r="H34" s="694">
        <v>0</v>
      </c>
      <c r="I34" s="694">
        <v>0</v>
      </c>
      <c r="J34" s="694">
        <v>0</v>
      </c>
      <c r="K34" s="694">
        <v>4800000</v>
      </c>
      <c r="L34" s="694">
        <v>1060140</v>
      </c>
      <c r="M34" s="694"/>
      <c r="N34" s="694">
        <v>1272000</v>
      </c>
      <c r="O34" s="694">
        <v>14115359.745999999</v>
      </c>
      <c r="P34" s="694"/>
      <c r="Q34" s="700"/>
      <c r="R34" s="700"/>
      <c r="S34" s="694">
        <v>2500000</v>
      </c>
      <c r="T34" s="694">
        <f>Q34+S34</f>
        <v>2500000</v>
      </c>
      <c r="U34" s="694">
        <f>(T27+T31+U31)*0.48*-1-T34</f>
        <v>6900668.5184000041</v>
      </c>
      <c r="V34" s="631"/>
      <c r="W34" s="631"/>
    </row>
    <row r="35" spans="1:23" ht="22" customHeight="1" thickBot="1">
      <c r="A35" s="631"/>
      <c r="B35" s="631"/>
      <c r="C35" s="631"/>
      <c r="D35" s="635" t="s">
        <v>50</v>
      </c>
      <c r="E35" s="656"/>
      <c r="F35" s="645">
        <v>6090606</v>
      </c>
      <c r="G35" s="645"/>
      <c r="H35" s="645">
        <v>8012022</v>
      </c>
      <c r="I35" s="645">
        <v>7541022.3291666638</v>
      </c>
      <c r="J35" s="645">
        <v>8582685.3291666638</v>
      </c>
      <c r="K35" s="645">
        <v>9136592.8125</v>
      </c>
      <c r="L35" s="645">
        <v>2208625</v>
      </c>
      <c r="M35" s="645"/>
      <c r="N35" s="645">
        <v>2650000</v>
      </c>
      <c r="O35" s="645">
        <v>29406999.470833331</v>
      </c>
      <c r="P35" s="645"/>
      <c r="Q35" s="645">
        <f>Q30+Q33+Q31+Q32</f>
        <v>5738338.9510000004</v>
      </c>
      <c r="R35" s="645"/>
      <c r="S35" s="645">
        <f>SUM(S30:S34)</f>
        <v>9313379</v>
      </c>
      <c r="T35" s="645">
        <f>SUM(T30:T34)</f>
        <v>15051717.951000001</v>
      </c>
      <c r="U35" s="645">
        <f>SUM(U30:U34)</f>
        <v>12083126.129000008</v>
      </c>
      <c r="V35" s="631"/>
      <c r="W35" s="631"/>
    </row>
    <row r="36" spans="1:23" ht="22" customHeight="1" thickTop="1">
      <c r="A36" s="631"/>
      <c r="B36" s="631"/>
      <c r="C36" s="631"/>
      <c r="D36" s="703" t="s">
        <v>51</v>
      </c>
      <c r="E36" s="703"/>
      <c r="F36" s="704"/>
      <c r="G36" s="704"/>
      <c r="H36" s="704">
        <v>-0.32916666381061083</v>
      </c>
      <c r="I36" s="704">
        <v>0</v>
      </c>
      <c r="J36" s="704">
        <v>0</v>
      </c>
      <c r="K36" s="704">
        <v>0</v>
      </c>
      <c r="L36" s="704">
        <v>0</v>
      </c>
      <c r="M36" s="704"/>
      <c r="N36" s="704">
        <v>0</v>
      </c>
      <c r="O36" s="704"/>
      <c r="P36" s="704"/>
      <c r="Q36" s="704">
        <f>Q10+Q27+Q35</f>
        <v>-110502.12900000904</v>
      </c>
      <c r="R36" s="704"/>
      <c r="S36" s="704">
        <f>S10+S27+S35</f>
        <v>-11972624</v>
      </c>
      <c r="T36" s="704">
        <f>T27+T35</f>
        <v>-12083126.129000008</v>
      </c>
      <c r="U36" s="704"/>
      <c r="V36" s="631"/>
      <c r="W36" s="631"/>
    </row>
    <row r="37" spans="1:23" ht="21" customHeight="1">
      <c r="A37" s="631"/>
      <c r="B37" s="631"/>
      <c r="C37" s="631"/>
      <c r="D37" s="631"/>
      <c r="E37" s="631"/>
      <c r="F37" s="631"/>
      <c r="G37" s="631"/>
      <c r="H37" s="631"/>
      <c r="I37" s="631"/>
      <c r="J37" s="631"/>
      <c r="K37" s="631"/>
      <c r="L37" s="631"/>
      <c r="M37" s="631"/>
      <c r="N37" s="631"/>
      <c r="O37" s="631"/>
      <c r="P37" s="631"/>
      <c r="Q37" s="631"/>
      <c r="R37" s="631"/>
      <c r="S37" s="631"/>
      <c r="T37" s="631"/>
      <c r="U37" s="631"/>
      <c r="V37" s="631"/>
      <c r="W37" s="631"/>
    </row>
    <row r="38" spans="1:23" ht="24" customHeight="1">
      <c r="A38" s="631"/>
      <c r="B38" s="631"/>
      <c r="C38" s="666" t="s">
        <v>52</v>
      </c>
      <c r="D38" s="629" t="s">
        <v>243</v>
      </c>
      <c r="E38" s="632"/>
      <c r="F38" s="629"/>
      <c r="G38" s="629"/>
      <c r="H38" s="629"/>
      <c r="I38" s="629"/>
      <c r="J38" s="650" t="s">
        <v>53</v>
      </c>
      <c r="K38" s="629"/>
      <c r="L38" s="629"/>
      <c r="M38" s="629"/>
      <c r="N38" s="629"/>
      <c r="O38" s="629"/>
      <c r="P38" s="632"/>
      <c r="Q38" s="632"/>
      <c r="R38" s="632"/>
      <c r="S38" s="632"/>
      <c r="T38" s="632"/>
      <c r="U38" s="632"/>
      <c r="V38" s="631"/>
      <c r="W38" s="631"/>
    </row>
    <row r="39" spans="1:23" ht="22" customHeight="1">
      <c r="A39" s="631"/>
      <c r="B39" s="631"/>
      <c r="C39" s="631"/>
      <c r="D39" s="689" t="s">
        <v>244</v>
      </c>
      <c r="E39" s="705"/>
      <c r="F39" s="689">
        <v>3033393</v>
      </c>
      <c r="G39" s="689"/>
      <c r="H39" s="689"/>
      <c r="I39" s="689">
        <v>3277966.237999998</v>
      </c>
      <c r="J39" s="689">
        <v>4119688.9579999992</v>
      </c>
      <c r="K39" s="689">
        <v>4385564.55</v>
      </c>
      <c r="L39" s="689">
        <v>1060140</v>
      </c>
      <c r="M39" s="689"/>
      <c r="N39" s="689">
        <v>1272000</v>
      </c>
      <c r="O39" s="689">
        <v>17148752.745999999</v>
      </c>
      <c r="P39" s="689"/>
      <c r="Q39" s="689"/>
      <c r="R39" s="689"/>
      <c r="S39" s="689"/>
      <c r="T39" s="689"/>
      <c r="U39" s="689"/>
      <c r="V39" s="631"/>
      <c r="W39" s="631"/>
    </row>
    <row r="40" spans="1:23" ht="22" customHeight="1">
      <c r="A40" s="631"/>
      <c r="B40" s="631"/>
      <c r="C40" s="631"/>
      <c r="D40" s="698" t="s">
        <v>245</v>
      </c>
      <c r="E40" s="706"/>
      <c r="F40" s="698"/>
      <c r="G40" s="698"/>
      <c r="H40" s="698">
        <v>5800000</v>
      </c>
      <c r="I40" s="698"/>
      <c r="J40" s="698"/>
      <c r="K40" s="698"/>
      <c r="L40" s="698"/>
      <c r="M40" s="698"/>
      <c r="N40" s="698"/>
      <c r="O40" s="698">
        <v>5800000</v>
      </c>
      <c r="P40" s="698"/>
      <c r="Q40" s="698"/>
      <c r="R40" s="698"/>
      <c r="S40" s="698"/>
      <c r="T40" s="698"/>
      <c r="U40" s="698"/>
      <c r="V40" s="631"/>
      <c r="W40" s="631"/>
    </row>
    <row r="41" spans="1:23" ht="22" customHeight="1">
      <c r="A41" s="631"/>
      <c r="B41" s="631"/>
      <c r="C41" s="631"/>
      <c r="D41" s="707" t="s">
        <v>54</v>
      </c>
      <c r="E41" s="706"/>
      <c r="F41" s="698">
        <f>F39+F40</f>
        <v>3033393</v>
      </c>
      <c r="G41" s="698"/>
      <c r="H41" s="698">
        <f>H39+H40</f>
        <v>5800000</v>
      </c>
      <c r="I41" s="698">
        <f>I39+I40</f>
        <v>3277966.237999998</v>
      </c>
      <c r="J41" s="698">
        <f>J39+J40</f>
        <v>4119688.9579999992</v>
      </c>
      <c r="K41" s="698">
        <f>K39+K40</f>
        <v>4385564.55</v>
      </c>
      <c r="L41" s="698">
        <f>L39+L40</f>
        <v>1060140</v>
      </c>
      <c r="M41" s="698"/>
      <c r="N41" s="698">
        <f>N39+N40</f>
        <v>1272000</v>
      </c>
      <c r="O41" s="698">
        <f>O39+O40</f>
        <v>22948752.745999999</v>
      </c>
      <c r="P41" s="698"/>
      <c r="Q41" s="698"/>
      <c r="R41" s="698"/>
      <c r="S41" s="698"/>
      <c r="T41" s="698"/>
      <c r="U41" s="698"/>
      <c r="V41" s="631"/>
      <c r="W41" s="631"/>
    </row>
    <row r="42" spans="1:23" s="708" customFormat="1" ht="21" customHeight="1">
      <c r="A42" s="631"/>
      <c r="B42" s="631"/>
      <c r="C42" s="631"/>
      <c r="D42" s="698" t="s">
        <v>246</v>
      </c>
      <c r="E42" s="706"/>
      <c r="F42" s="698">
        <v>0</v>
      </c>
      <c r="G42" s="698"/>
      <c r="H42" s="698">
        <v>5500000</v>
      </c>
      <c r="I42" s="698">
        <v>0</v>
      </c>
      <c r="J42" s="698">
        <v>0</v>
      </c>
      <c r="K42" s="698">
        <v>4800000</v>
      </c>
      <c r="L42" s="698"/>
      <c r="M42" s="698"/>
      <c r="N42" s="698"/>
      <c r="O42" s="698">
        <v>10300000</v>
      </c>
      <c r="P42" s="698"/>
      <c r="Q42" s="698"/>
      <c r="R42" s="698"/>
      <c r="S42" s="698"/>
      <c r="T42" s="698"/>
      <c r="U42" s="698"/>
      <c r="V42" s="631"/>
      <c r="W42" s="631"/>
    </row>
    <row r="43" spans="1:23" s="708" customFormat="1" ht="22" customHeight="1">
      <c r="A43" s="631"/>
      <c r="B43" s="631"/>
      <c r="C43" s="631"/>
      <c r="D43" s="698" t="s">
        <v>247</v>
      </c>
      <c r="E43" s="706"/>
      <c r="F43" s="698">
        <f>F41-F42</f>
        <v>3033393</v>
      </c>
      <c r="G43" s="698"/>
      <c r="H43" s="698">
        <f>H41-H42</f>
        <v>300000</v>
      </c>
      <c r="I43" s="698">
        <f>I41-I42</f>
        <v>3277966.237999998</v>
      </c>
      <c r="J43" s="698">
        <f>J41-J42</f>
        <v>4119688.9579999992</v>
      </c>
      <c r="K43" s="698">
        <f>K41-K42</f>
        <v>-414435.45000000019</v>
      </c>
      <c r="L43" s="698">
        <f>L41-L42</f>
        <v>1060140</v>
      </c>
      <c r="M43" s="698"/>
      <c r="N43" s="698">
        <f>N41-N42</f>
        <v>1272000</v>
      </c>
      <c r="O43" s="698">
        <f>O41-O42</f>
        <v>12648752.745999999</v>
      </c>
      <c r="P43" s="698"/>
      <c r="Q43" s="698"/>
      <c r="R43" s="698"/>
      <c r="S43" s="698"/>
      <c r="T43" s="698"/>
      <c r="U43" s="698"/>
      <c r="V43" s="631"/>
      <c r="W43" s="631"/>
    </row>
    <row r="44" spans="1:23" ht="22" customHeight="1">
      <c r="A44" s="631"/>
      <c r="B44" s="631"/>
      <c r="C44" s="631"/>
      <c r="D44" s="709" t="s">
        <v>248</v>
      </c>
      <c r="E44" s="710"/>
      <c r="F44" s="710">
        <f>F43</f>
        <v>3033393</v>
      </c>
      <c r="G44" s="710"/>
      <c r="H44" s="710">
        <f>F44+H43</f>
        <v>3333393</v>
      </c>
      <c r="I44" s="710">
        <f>H44+I43</f>
        <v>6611359.237999998</v>
      </c>
      <c r="J44" s="710">
        <f>I44+J43</f>
        <v>10731048.195999997</v>
      </c>
      <c r="K44" s="710">
        <f>J44+K43</f>
        <v>10316612.745999996</v>
      </c>
      <c r="L44" s="710">
        <f>K44+L43</f>
        <v>11376752.745999996</v>
      </c>
      <c r="M44" s="710"/>
      <c r="N44" s="710">
        <f>L44+N43</f>
        <v>12648752.745999996</v>
      </c>
      <c r="O44" s="710">
        <f>O43</f>
        <v>12648752.745999999</v>
      </c>
      <c r="P44" s="710"/>
      <c r="Q44" s="710"/>
      <c r="R44" s="710"/>
      <c r="S44" s="710"/>
      <c r="T44" s="710"/>
      <c r="U44" s="710"/>
      <c r="V44" s="631"/>
      <c r="W44" s="631"/>
    </row>
    <row r="45" spans="1:23">
      <c r="A45" s="631"/>
      <c r="B45" s="631"/>
      <c r="C45" s="631"/>
      <c r="D45" s="631"/>
      <c r="E45" s="631"/>
      <c r="F45" s="631"/>
      <c r="G45" s="631"/>
      <c r="H45" s="631"/>
      <c r="I45" s="631"/>
      <c r="J45" s="631"/>
      <c r="K45" s="631"/>
      <c r="L45" s="631"/>
      <c r="M45" s="631"/>
      <c r="N45" s="631"/>
      <c r="O45" s="631"/>
      <c r="P45" s="631"/>
      <c r="Q45" s="631"/>
      <c r="R45" s="631"/>
      <c r="S45" s="631"/>
      <c r="T45" s="631"/>
      <c r="U45" s="631"/>
      <c r="V45" s="631"/>
      <c r="W45" s="631"/>
    </row>
    <row r="46" spans="1:23" hidden="1">
      <c r="A46" s="631"/>
      <c r="B46" s="631"/>
      <c r="C46" s="631"/>
      <c r="D46" s="631"/>
      <c r="E46" s="631"/>
      <c r="F46" s="631"/>
      <c r="G46" s="631"/>
      <c r="H46" s="631"/>
      <c r="I46" s="631"/>
      <c r="J46" s="631"/>
      <c r="K46" s="631"/>
      <c r="L46" s="631"/>
      <c r="M46" s="631"/>
      <c r="N46" s="631"/>
      <c r="O46" s="631"/>
      <c r="P46" s="631"/>
      <c r="Q46" s="631"/>
      <c r="R46" s="631"/>
      <c r="S46" s="631"/>
      <c r="T46" s="631"/>
      <c r="U46" s="631"/>
      <c r="V46" s="631"/>
      <c r="W46" s="631"/>
    </row>
    <row r="47" spans="1:23" ht="24" hidden="1" customHeight="1">
      <c r="A47" s="631"/>
      <c r="B47" s="631"/>
      <c r="C47" s="666" t="s">
        <v>55</v>
      </c>
      <c r="D47" s="629" t="s">
        <v>56</v>
      </c>
      <c r="E47" s="632"/>
      <c r="F47" s="629"/>
      <c r="G47" s="629"/>
      <c r="H47" s="629"/>
      <c r="I47" s="629"/>
      <c r="J47" s="650" t="s">
        <v>57</v>
      </c>
      <c r="K47" s="629"/>
      <c r="L47" s="629"/>
      <c r="M47" s="629"/>
      <c r="N47" s="629"/>
      <c r="O47" s="629"/>
      <c r="P47" s="632"/>
      <c r="Q47" s="632"/>
      <c r="R47" s="632"/>
      <c r="S47" s="632"/>
      <c r="T47" s="632"/>
      <c r="U47" s="632"/>
      <c r="V47" s="631"/>
      <c r="W47" s="631"/>
    </row>
    <row r="48" spans="1:23" ht="21" hidden="1" customHeight="1">
      <c r="A48" s="631"/>
      <c r="B48" s="631"/>
      <c r="C48" s="631"/>
      <c r="D48" s="689" t="s">
        <v>58</v>
      </c>
      <c r="E48" s="705"/>
      <c r="F48" s="689">
        <v>0</v>
      </c>
      <c r="G48" s="689"/>
      <c r="H48" s="689">
        <v>0</v>
      </c>
      <c r="I48" s="689">
        <v>-3551130.0911666648</v>
      </c>
      <c r="J48" s="689">
        <v>-4462996.3711666651</v>
      </c>
      <c r="K48" s="689">
        <v>-4751028.2625000002</v>
      </c>
      <c r="L48" s="689">
        <v>-1148485</v>
      </c>
      <c r="M48" s="689"/>
      <c r="N48" s="689">
        <v>-1378000</v>
      </c>
      <c r="O48" s="689"/>
      <c r="P48" s="689"/>
      <c r="Q48" s="689"/>
      <c r="R48" s="689"/>
      <c r="S48" s="689"/>
      <c r="T48" s="689"/>
      <c r="U48" s="689"/>
      <c r="V48" s="631"/>
      <c r="W48" s="631"/>
    </row>
    <row r="49" spans="1:23" s="708" customFormat="1" ht="21" hidden="1" customHeight="1">
      <c r="A49" s="631"/>
      <c r="B49" s="631"/>
      <c r="C49" s="631"/>
      <c r="D49" s="698" t="s">
        <v>59</v>
      </c>
      <c r="E49" s="706"/>
      <c r="F49" s="698">
        <v>3033393</v>
      </c>
      <c r="G49" s="698"/>
      <c r="H49" s="698">
        <v>0</v>
      </c>
      <c r="I49" s="698">
        <v>3551130.0911666648</v>
      </c>
      <c r="J49" s="698">
        <v>4462996.3711666651</v>
      </c>
      <c r="K49" s="698">
        <v>4751028.2625000002</v>
      </c>
      <c r="L49" s="698">
        <v>1148485</v>
      </c>
      <c r="M49" s="698"/>
      <c r="N49" s="698">
        <v>1378000</v>
      </c>
      <c r="O49" s="698"/>
      <c r="P49" s="698"/>
      <c r="Q49" s="698"/>
      <c r="R49" s="698"/>
      <c r="S49" s="698"/>
      <c r="T49" s="698"/>
      <c r="U49" s="698"/>
      <c r="V49" s="631"/>
      <c r="W49" s="631"/>
    </row>
    <row r="50" spans="1:23" s="711" customFormat="1" ht="22" hidden="1" customHeight="1">
      <c r="A50" s="631"/>
      <c r="B50" s="631"/>
      <c r="C50" s="631"/>
      <c r="D50" s="698" t="s">
        <v>60</v>
      </c>
      <c r="E50" s="706"/>
      <c r="F50" s="698">
        <v>3033393</v>
      </c>
      <c r="G50" s="698"/>
      <c r="H50" s="698">
        <v>0</v>
      </c>
      <c r="I50" s="698">
        <v>0</v>
      </c>
      <c r="J50" s="698">
        <v>0</v>
      </c>
      <c r="K50" s="698">
        <v>-414435.45000000019</v>
      </c>
      <c r="L50" s="698">
        <v>1060140</v>
      </c>
      <c r="M50" s="698"/>
      <c r="N50" s="698">
        <v>1272000</v>
      </c>
      <c r="O50" s="698">
        <v>4951097.55</v>
      </c>
      <c r="P50" s="698"/>
      <c r="Q50" s="698"/>
      <c r="R50" s="698"/>
      <c r="S50" s="698"/>
      <c r="T50" s="698"/>
      <c r="U50" s="698"/>
      <c r="V50" s="631"/>
      <c r="W50" s="631"/>
    </row>
    <row r="51" spans="1:23" s="712" customFormat="1" ht="22" hidden="1" customHeight="1">
      <c r="A51" s="631"/>
      <c r="B51" s="631"/>
      <c r="C51" s="631"/>
      <c r="D51" s="709" t="s">
        <v>61</v>
      </c>
      <c r="E51" s="710"/>
      <c r="F51" s="710">
        <f>F50</f>
        <v>3033393</v>
      </c>
      <c r="G51" s="710"/>
      <c r="H51" s="710">
        <f>F51+H50</f>
        <v>3033393</v>
      </c>
      <c r="I51" s="710">
        <f>H51+I50</f>
        <v>3033393</v>
      </c>
      <c r="J51" s="710">
        <f>I51+J50</f>
        <v>3033393</v>
      </c>
      <c r="K51" s="710">
        <f>J51+K50</f>
        <v>2618957.5499999998</v>
      </c>
      <c r="L51" s="710">
        <f>K51+L50</f>
        <v>3679097.55</v>
      </c>
      <c r="M51" s="710"/>
      <c r="N51" s="710">
        <f>L51+N50</f>
        <v>4951097.55</v>
      </c>
      <c r="O51" s="710">
        <f>O50</f>
        <v>4951097.55</v>
      </c>
      <c r="P51" s="710"/>
      <c r="Q51" s="710"/>
      <c r="R51" s="710"/>
      <c r="S51" s="710"/>
      <c r="T51" s="710"/>
      <c r="U51" s="710"/>
      <c r="V51" s="631"/>
      <c r="W51" s="631"/>
    </row>
    <row r="52" spans="1:23" hidden="1">
      <c r="A52" s="631"/>
      <c r="B52" s="631"/>
      <c r="C52" s="631"/>
      <c r="D52" s="631"/>
      <c r="E52" s="631"/>
      <c r="F52" s="631"/>
      <c r="G52" s="631"/>
      <c r="H52" s="631"/>
      <c r="I52" s="631"/>
      <c r="J52" s="631"/>
      <c r="K52" s="631"/>
      <c r="L52" s="631"/>
      <c r="M52" s="631"/>
      <c r="N52" s="631"/>
      <c r="O52" s="631"/>
      <c r="P52" s="631"/>
      <c r="Q52" s="631"/>
      <c r="R52" s="631"/>
      <c r="S52" s="631"/>
      <c r="T52" s="631"/>
      <c r="U52" s="631"/>
      <c r="V52" s="631"/>
      <c r="W52" s="631"/>
    </row>
    <row r="53" spans="1:23" hidden="1">
      <c r="A53" s="631"/>
      <c r="B53" s="631"/>
      <c r="C53" s="631"/>
      <c r="D53" s="631"/>
      <c r="E53" s="631"/>
      <c r="F53" s="631"/>
      <c r="G53" s="631"/>
      <c r="H53" s="631"/>
      <c r="I53" s="631"/>
      <c r="J53" s="631"/>
      <c r="K53" s="631"/>
      <c r="L53" s="631"/>
      <c r="M53" s="631"/>
      <c r="N53" s="631"/>
      <c r="O53" s="631"/>
      <c r="P53" s="631"/>
      <c r="Q53" s="631"/>
      <c r="R53" s="631"/>
      <c r="S53" s="631"/>
      <c r="T53" s="631"/>
      <c r="U53" s="631"/>
      <c r="V53" s="631"/>
      <c r="W53" s="631"/>
    </row>
    <row r="54" spans="1:23">
      <c r="A54" s="631"/>
      <c r="B54" s="631"/>
      <c r="C54" s="631"/>
      <c r="D54" s="631"/>
      <c r="E54" s="631"/>
      <c r="F54" s="631"/>
      <c r="G54" s="631"/>
      <c r="H54" s="631"/>
      <c r="I54" s="631"/>
      <c r="J54" s="631"/>
      <c r="K54" s="631"/>
      <c r="L54" s="631"/>
      <c r="M54" s="631"/>
      <c r="N54" s="631"/>
      <c r="O54" s="631"/>
      <c r="P54" s="631"/>
      <c r="Q54" s="631"/>
      <c r="R54" s="631"/>
      <c r="S54" s="631"/>
      <c r="T54" s="631"/>
      <c r="U54" s="631"/>
      <c r="V54" s="631"/>
      <c r="W54" s="631"/>
    </row>
    <row r="55" spans="1:23" ht="48" customHeight="1">
      <c r="A55" s="631"/>
      <c r="B55" s="631"/>
      <c r="C55" s="631"/>
      <c r="D55" s="631"/>
      <c r="E55" s="631"/>
      <c r="F55" s="713" t="s">
        <v>259</v>
      </c>
      <c r="G55" s="713"/>
      <c r="H55" s="714"/>
      <c r="I55" s="714"/>
      <c r="J55" s="714"/>
      <c r="K55" s="714"/>
      <c r="L55" s="715"/>
      <c r="M55" s="631"/>
      <c r="N55" s="713" t="s">
        <v>267</v>
      </c>
      <c r="O55" s="714"/>
      <c r="P55" s="714"/>
      <c r="Q55" s="714"/>
      <c r="R55" s="714"/>
      <c r="S55" s="631"/>
      <c r="T55" s="631"/>
      <c r="U55" s="631"/>
      <c r="V55" s="631"/>
      <c r="W55" s="631"/>
    </row>
    <row r="56" spans="1:23" s="724" customFormat="1" ht="37" customHeight="1">
      <c r="A56" s="716"/>
      <c r="B56" s="716"/>
      <c r="C56" s="716"/>
      <c r="D56" s="716"/>
      <c r="E56" s="716"/>
      <c r="F56" s="717" t="s">
        <v>260</v>
      </c>
      <c r="G56" s="717"/>
      <c r="H56" s="718" t="s">
        <v>306</v>
      </c>
      <c r="I56" s="719"/>
      <c r="J56" s="718" t="s">
        <v>307</v>
      </c>
      <c r="K56" s="719"/>
      <c r="L56" s="720"/>
      <c r="M56" s="716"/>
      <c r="N56" s="721" t="s">
        <v>260</v>
      </c>
      <c r="O56" s="722" t="s">
        <v>308</v>
      </c>
      <c r="P56" s="719"/>
      <c r="Q56" s="722" t="s">
        <v>309</v>
      </c>
      <c r="R56" s="719"/>
      <c r="S56" s="716"/>
      <c r="T56" s="716"/>
      <c r="U56" s="723"/>
      <c r="V56" s="723"/>
      <c r="W56" s="723"/>
    </row>
    <row r="57" spans="1:23" s="726" customFormat="1" ht="36" customHeight="1">
      <c r="A57" s="661"/>
      <c r="B57" s="661"/>
      <c r="C57" s="661"/>
      <c r="D57" s="661"/>
      <c r="E57" s="661"/>
      <c r="F57" s="725"/>
      <c r="G57" s="725"/>
      <c r="H57" s="791" t="s">
        <v>321</v>
      </c>
      <c r="I57" s="791" t="s">
        <v>264</v>
      </c>
      <c r="J57" s="791" t="s">
        <v>321</v>
      </c>
      <c r="K57" s="791" t="s">
        <v>264</v>
      </c>
      <c r="L57" s="725"/>
      <c r="M57" s="661"/>
      <c r="N57" s="790"/>
      <c r="O57" s="791" t="s">
        <v>322</v>
      </c>
      <c r="P57" s="791" t="s">
        <v>264</v>
      </c>
      <c r="Q57" s="791" t="s">
        <v>323</v>
      </c>
      <c r="R57" s="791" t="s">
        <v>264</v>
      </c>
      <c r="S57" s="661"/>
      <c r="T57" s="661"/>
      <c r="U57" s="661"/>
      <c r="V57" s="661"/>
      <c r="W57" s="661"/>
    </row>
    <row r="58" spans="1:23" s="726" customFormat="1">
      <c r="A58" s="661"/>
      <c r="B58" s="661"/>
      <c r="C58" s="661"/>
      <c r="D58" s="661"/>
      <c r="E58" s="661"/>
      <c r="F58" s="727"/>
      <c r="G58" s="727"/>
      <c r="H58" s="727"/>
      <c r="I58" s="727"/>
      <c r="J58" s="727"/>
      <c r="K58" s="727"/>
      <c r="L58" s="727"/>
      <c r="M58" s="661"/>
      <c r="N58" s="623"/>
      <c r="O58" s="624"/>
      <c r="P58" s="624"/>
      <c r="Q58" s="624"/>
      <c r="R58" s="624"/>
      <c r="S58" s="661"/>
      <c r="T58" s="661"/>
      <c r="U58" s="661"/>
      <c r="V58" s="661"/>
      <c r="W58" s="661"/>
    </row>
    <row r="59" spans="1:23" s="726" customFormat="1" ht="17" customHeight="1">
      <c r="A59" s="661"/>
      <c r="B59" s="661"/>
      <c r="C59" s="661"/>
      <c r="D59" s="661"/>
      <c r="E59" s="661"/>
      <c r="F59" s="728" t="s">
        <v>261</v>
      </c>
      <c r="G59" s="728"/>
      <c r="H59" s="729">
        <f>ROUND(O33,0)</f>
        <v>15291640</v>
      </c>
      <c r="I59" s="729">
        <v>15333393</v>
      </c>
      <c r="J59" s="729">
        <v>18577815</v>
      </c>
      <c r="K59" s="729">
        <v>18577815</v>
      </c>
      <c r="L59" s="730"/>
      <c r="M59" s="661"/>
      <c r="N59" s="623" t="s">
        <v>261</v>
      </c>
      <c r="O59" s="624">
        <f>$E$33*O61</f>
        <v>3041397.3616000051</v>
      </c>
      <c r="P59" s="624">
        <f>Q33</f>
        <v>5738338.9510000004</v>
      </c>
      <c r="Q59" s="624">
        <f>$E$33*Q61</f>
        <v>2539295.7200000002</v>
      </c>
      <c r="R59" s="792">
        <f>S33</f>
        <v>2383261</v>
      </c>
      <c r="S59" s="661"/>
      <c r="T59" s="661"/>
      <c r="U59" s="661"/>
      <c r="V59" s="661"/>
      <c r="W59" s="661"/>
    </row>
    <row r="60" spans="1:23" s="726" customFormat="1" ht="17" customHeight="1" thickBot="1">
      <c r="A60" s="661"/>
      <c r="B60" s="661"/>
      <c r="C60" s="661"/>
      <c r="D60" s="661"/>
      <c r="E60" s="661"/>
      <c r="F60" s="728" t="s">
        <v>249</v>
      </c>
      <c r="G60" s="728"/>
      <c r="H60" s="729">
        <f>ROUND(O34,0)</f>
        <v>14115360</v>
      </c>
      <c r="I60" s="729">
        <v>4800000</v>
      </c>
      <c r="J60" s="729">
        <v>17148752</v>
      </c>
      <c r="K60" s="729">
        <v>17148752</v>
      </c>
      <c r="L60" s="730"/>
      <c r="M60" s="661"/>
      <c r="N60" s="623" t="s">
        <v>249</v>
      </c>
      <c r="O60" s="624">
        <f>$E$34*O61</f>
        <v>2807443.7184000043</v>
      </c>
      <c r="P60" s="793" t="s">
        <v>314</v>
      </c>
      <c r="Q60" s="624">
        <f>$E$34*Q61</f>
        <v>2343965.2799999998</v>
      </c>
      <c r="R60" s="792">
        <f>S34</f>
        <v>2500000</v>
      </c>
      <c r="S60" s="661"/>
      <c r="T60" s="661"/>
      <c r="U60" s="661"/>
      <c r="V60" s="661"/>
      <c r="W60" s="661"/>
    </row>
    <row r="61" spans="1:23" s="734" customFormat="1" ht="34" customHeight="1">
      <c r="A61" s="661"/>
      <c r="B61" s="661"/>
      <c r="C61" s="661"/>
      <c r="D61" s="661"/>
      <c r="E61" s="661"/>
      <c r="F61" s="731" t="s">
        <v>262</v>
      </c>
      <c r="G61" s="731"/>
      <c r="H61" s="732">
        <f>H59+H60</f>
        <v>29407000</v>
      </c>
      <c r="I61" s="732">
        <f>I59+I60</f>
        <v>20133393</v>
      </c>
      <c r="J61" s="733">
        <f>J59+J60</f>
        <v>35726567</v>
      </c>
      <c r="K61" s="733">
        <f>K59+K60</f>
        <v>35726567</v>
      </c>
      <c r="L61" s="732"/>
      <c r="M61" s="661"/>
      <c r="N61" s="794" t="s">
        <v>262</v>
      </c>
      <c r="O61" s="795">
        <f>-Q27</f>
        <v>5848841.0800000094</v>
      </c>
      <c r="P61" s="787">
        <f>Q35</f>
        <v>5738338.9510000004</v>
      </c>
      <c r="Q61" s="795">
        <f>S33+S34</f>
        <v>4883261</v>
      </c>
      <c r="R61" s="787">
        <f>R59+R60</f>
        <v>4883261</v>
      </c>
      <c r="S61" s="625"/>
      <c r="T61" s="625"/>
      <c r="U61" s="661"/>
      <c r="V61" s="661"/>
      <c r="W61" s="661"/>
    </row>
    <row r="62" spans="1:23" s="734" customFormat="1" ht="18" customHeight="1">
      <c r="A62" s="661"/>
      <c r="B62" s="661"/>
      <c r="C62" s="661"/>
      <c r="D62" s="661"/>
      <c r="E62" s="661"/>
      <c r="F62" s="661"/>
      <c r="G62" s="661"/>
      <c r="H62" s="661"/>
      <c r="I62" s="661"/>
      <c r="J62" s="661"/>
      <c r="K62" s="661"/>
      <c r="L62" s="735"/>
      <c r="M62" s="735"/>
      <c r="N62" s="661"/>
      <c r="O62" s="661"/>
      <c r="P62" s="736"/>
      <c r="Q62" s="736"/>
      <c r="R62" s="625"/>
      <c r="S62" s="625"/>
      <c r="T62" s="625"/>
      <c r="U62" s="661"/>
      <c r="V62" s="661"/>
      <c r="W62" s="661"/>
    </row>
    <row r="63" spans="1:23" s="734" customFormat="1" ht="51" customHeight="1">
      <c r="A63" s="661"/>
      <c r="B63" s="661"/>
      <c r="C63" s="661"/>
      <c r="D63" s="661"/>
      <c r="E63" s="661"/>
      <c r="F63" s="713" t="s">
        <v>263</v>
      </c>
      <c r="G63" s="713"/>
      <c r="H63" s="714"/>
      <c r="I63" s="714"/>
      <c r="J63" s="714"/>
      <c r="K63" s="714"/>
      <c r="L63" s="737"/>
      <c r="M63" s="661"/>
      <c r="N63" s="713" t="s">
        <v>268</v>
      </c>
      <c r="O63" s="714"/>
      <c r="P63" s="714"/>
      <c r="Q63" s="714"/>
      <c r="R63" s="714"/>
      <c r="S63" s="625"/>
      <c r="T63" s="625"/>
      <c r="U63" s="661"/>
      <c r="V63" s="661"/>
      <c r="W63" s="661"/>
    </row>
    <row r="64" spans="1:23" s="734" customFormat="1" ht="18" customHeight="1">
      <c r="A64" s="661"/>
      <c r="B64" s="661"/>
      <c r="C64" s="661"/>
      <c r="D64" s="661"/>
      <c r="E64" s="661"/>
      <c r="F64" s="738" t="s">
        <v>260</v>
      </c>
      <c r="G64" s="738"/>
      <c r="H64" s="739" t="s">
        <v>310</v>
      </c>
      <c r="I64" s="740"/>
      <c r="J64" s="740"/>
      <c r="K64" s="740"/>
      <c r="L64" s="738"/>
      <c r="M64" s="661"/>
      <c r="N64" s="738" t="s">
        <v>269</v>
      </c>
      <c r="O64" s="738" t="s">
        <v>306</v>
      </c>
      <c r="P64" s="738" t="s">
        <v>311</v>
      </c>
      <c r="Q64" s="738" t="s">
        <v>312</v>
      </c>
      <c r="R64" s="738" t="s">
        <v>313</v>
      </c>
      <c r="S64" s="661"/>
      <c r="T64" s="661"/>
      <c r="U64" s="661"/>
      <c r="V64" s="661"/>
      <c r="W64" s="661"/>
    </row>
    <row r="65" spans="1:23" s="734" customFormat="1" ht="64" customHeight="1">
      <c r="A65" s="661"/>
      <c r="B65" s="661"/>
      <c r="C65" s="661"/>
      <c r="D65" s="661"/>
      <c r="E65" s="661"/>
      <c r="F65" s="798"/>
      <c r="G65" s="798"/>
      <c r="H65" s="796" t="s">
        <v>264</v>
      </c>
      <c r="I65" s="796" t="s">
        <v>321</v>
      </c>
      <c r="J65" s="796" t="s">
        <v>265</v>
      </c>
      <c r="K65" s="796" t="s">
        <v>266</v>
      </c>
      <c r="L65" s="796"/>
      <c r="M65" s="661"/>
      <c r="N65" s="661" t="s">
        <v>29</v>
      </c>
      <c r="O65" s="735">
        <v>18531958.490566041</v>
      </c>
      <c r="P65" s="661">
        <f>-P76</f>
        <v>1341458.0800000089</v>
      </c>
      <c r="Q65" s="626">
        <f>Q61*(S12+S13+S14)/S27</f>
        <v>1167984.5147815209</v>
      </c>
      <c r="R65" s="661">
        <f>J69*(S12+S13+S14)/S27</f>
        <v>2143811.7935342072</v>
      </c>
      <c r="S65" s="661"/>
      <c r="T65" s="661"/>
      <c r="U65" s="661"/>
      <c r="V65" s="661"/>
      <c r="W65" s="661"/>
    </row>
    <row r="66" spans="1:23" s="734" customFormat="1" ht="18" customHeight="1">
      <c r="A66" s="661"/>
      <c r="B66" s="661"/>
      <c r="C66" s="661"/>
      <c r="D66" s="661"/>
      <c r="E66" s="661"/>
      <c r="F66" s="623"/>
      <c r="G66" s="623"/>
      <c r="H66" s="624"/>
      <c r="I66" s="624"/>
      <c r="J66" s="624"/>
      <c r="K66" s="624"/>
      <c r="L66" s="624"/>
      <c r="M66" s="661"/>
      <c r="N66" s="661" t="s">
        <v>85</v>
      </c>
      <c r="O66" s="735">
        <v>10875041.509433961</v>
      </c>
      <c r="P66" s="661">
        <f>-P89</f>
        <v>4507383</v>
      </c>
      <c r="Q66" s="626">
        <f>Q61-Q65</f>
        <v>3715276.4852184793</v>
      </c>
      <c r="R66" s="661">
        <f>J69-R65</f>
        <v>6819314.3354658009</v>
      </c>
      <c r="S66" s="661"/>
      <c r="T66" s="661"/>
      <c r="U66" s="661"/>
      <c r="V66" s="661"/>
      <c r="W66" s="661"/>
    </row>
    <row r="67" spans="1:23" s="734" customFormat="1" ht="18" customHeight="1">
      <c r="A67" s="661"/>
      <c r="B67" s="661"/>
      <c r="C67" s="661"/>
      <c r="D67" s="661"/>
      <c r="E67" s="661"/>
      <c r="F67" s="623" t="s">
        <v>261</v>
      </c>
      <c r="G67" s="623"/>
      <c r="H67" s="786">
        <f>P59+R59</f>
        <v>8121599.9510000004</v>
      </c>
      <c r="I67" s="624">
        <f>$E$33*I69</f>
        <v>5580693.0816000048</v>
      </c>
      <c r="J67" s="624">
        <f>$E$33*J69</f>
        <v>4660825.5870800046</v>
      </c>
      <c r="K67" s="624">
        <f>U33</f>
        <v>2062457.6106000049</v>
      </c>
      <c r="L67" s="624"/>
      <c r="M67" s="661"/>
      <c r="N67" s="661"/>
      <c r="O67" s="661"/>
      <c r="P67" s="661"/>
      <c r="Q67" s="661"/>
      <c r="R67" s="661"/>
      <c r="S67" s="661"/>
      <c r="T67" s="661"/>
      <c r="U67" s="661"/>
      <c r="V67" s="661"/>
      <c r="W67" s="661"/>
    </row>
    <row r="68" spans="1:23" s="734" customFormat="1" ht="18" customHeight="1">
      <c r="A68" s="661"/>
      <c r="B68" s="661"/>
      <c r="C68" s="661"/>
      <c r="D68" s="661"/>
      <c r="E68" s="661"/>
      <c r="F68" s="623" t="s">
        <v>249</v>
      </c>
      <c r="G68" s="623"/>
      <c r="H68" s="792">
        <f>R60</f>
        <v>2500000</v>
      </c>
      <c r="I68" s="624">
        <f>$E$34*I69</f>
        <v>5151408.9984000046</v>
      </c>
      <c r="J68" s="624">
        <f>$E$34*J69</f>
        <v>4302300.5419200035</v>
      </c>
      <c r="K68" s="792">
        <f>U34</f>
        <v>6900668.5184000041</v>
      </c>
      <c r="L68" s="624"/>
      <c r="M68" s="661"/>
      <c r="N68" s="661"/>
      <c r="O68" s="661"/>
      <c r="P68" s="661"/>
      <c r="Q68" s="661"/>
      <c r="R68" s="661"/>
      <c r="S68" s="661"/>
      <c r="T68" s="661"/>
      <c r="U68" s="661"/>
      <c r="V68" s="661"/>
      <c r="W68" s="661"/>
    </row>
    <row r="69" spans="1:23" s="734" customFormat="1" ht="28" customHeight="1">
      <c r="A69" s="661"/>
      <c r="B69" s="661"/>
      <c r="C69" s="661"/>
      <c r="D69" s="661"/>
      <c r="E69" s="661"/>
      <c r="F69" s="799" t="s">
        <v>262</v>
      </c>
      <c r="G69" s="799"/>
      <c r="H69" s="797">
        <f>H67+H68</f>
        <v>10621599.951000001</v>
      </c>
      <c r="I69" s="797">
        <f>O61+Q61</f>
        <v>10732102.080000009</v>
      </c>
      <c r="J69" s="800">
        <f>U33+U34</f>
        <v>8963126.1290000081</v>
      </c>
      <c r="K69" s="800">
        <f>K67+K68</f>
        <v>8963126.1290000081</v>
      </c>
      <c r="L69" s="800"/>
      <c r="M69" s="661"/>
      <c r="N69" s="661"/>
      <c r="O69" s="661"/>
      <c r="P69" s="661"/>
      <c r="Q69" s="661"/>
      <c r="R69" s="661"/>
      <c r="S69" s="661"/>
      <c r="T69" s="661"/>
      <c r="U69" s="661"/>
      <c r="V69" s="661"/>
      <c r="W69" s="661"/>
    </row>
    <row r="70" spans="1:23" s="734" customFormat="1" ht="18" customHeight="1">
      <c r="A70" s="661"/>
      <c r="B70" s="661"/>
      <c r="C70" s="661"/>
      <c r="D70" s="661"/>
      <c r="E70" s="661"/>
      <c r="F70" s="661"/>
      <c r="G70" s="661"/>
      <c r="H70" s="661"/>
      <c r="I70" s="661"/>
      <c r="J70" s="661"/>
      <c r="K70" s="661"/>
      <c r="L70" s="735"/>
      <c r="M70" s="735"/>
      <c r="N70" s="661"/>
      <c r="O70" s="661"/>
      <c r="P70" s="661"/>
      <c r="Q70" s="661"/>
      <c r="R70" s="661"/>
      <c r="S70" s="661"/>
      <c r="T70" s="661"/>
      <c r="U70" s="661"/>
      <c r="V70" s="661"/>
      <c r="W70" s="661"/>
    </row>
    <row r="71" spans="1:23" s="734" customFormat="1" ht="26" customHeight="1">
      <c r="A71" s="661"/>
      <c r="B71" s="661"/>
      <c r="C71" s="661"/>
      <c r="D71" s="661"/>
      <c r="E71" s="661"/>
      <c r="F71" s="646" t="s">
        <v>270</v>
      </c>
      <c r="G71" s="646"/>
      <c r="H71" s="646"/>
      <c r="I71" s="646"/>
      <c r="J71" s="646"/>
      <c r="K71" s="646"/>
      <c r="L71" s="647"/>
      <c r="M71" s="661"/>
      <c r="N71" s="657" t="s">
        <v>282</v>
      </c>
      <c r="O71" s="658"/>
      <c r="P71" s="658"/>
      <c r="Q71" s="658"/>
      <c r="R71" s="658"/>
      <c r="S71" s="661"/>
      <c r="T71" s="661"/>
      <c r="U71" s="661"/>
      <c r="V71" s="661"/>
      <c r="W71" s="661"/>
    </row>
    <row r="72" spans="1:23" s="734" customFormat="1" ht="18" customHeight="1" thickBot="1">
      <c r="A72" s="661"/>
      <c r="B72" s="661"/>
      <c r="C72" s="661"/>
      <c r="D72" s="661"/>
      <c r="E72" s="661"/>
      <c r="F72" s="625"/>
      <c r="G72" s="625"/>
      <c r="H72" s="625"/>
      <c r="I72" s="625"/>
      <c r="J72" s="625"/>
      <c r="K72" s="625"/>
      <c r="L72" s="661"/>
      <c r="M72" s="661"/>
      <c r="N72" s="741" t="s">
        <v>283</v>
      </c>
      <c r="O72" s="741" t="s">
        <v>297</v>
      </c>
      <c r="P72" s="742" t="s">
        <v>275</v>
      </c>
      <c r="Q72" s="742" t="s">
        <v>315</v>
      </c>
      <c r="R72" s="742" t="s">
        <v>316</v>
      </c>
      <c r="S72" s="661"/>
      <c r="T72" s="661"/>
      <c r="U72" s="661"/>
      <c r="V72" s="661"/>
      <c r="W72" s="661"/>
    </row>
    <row r="73" spans="1:23" s="734" customFormat="1" ht="93" customHeight="1" thickBot="1">
      <c r="A73" s="661"/>
      <c r="B73" s="661"/>
      <c r="C73" s="661"/>
      <c r="D73" s="661"/>
      <c r="E73" s="661"/>
      <c r="F73" s="743" t="s">
        <v>271</v>
      </c>
      <c r="G73" s="743"/>
      <c r="H73" s="743" t="s">
        <v>275</v>
      </c>
      <c r="I73" s="743" t="s">
        <v>276</v>
      </c>
      <c r="J73" s="743" t="s">
        <v>277</v>
      </c>
      <c r="K73" s="743" t="s">
        <v>274</v>
      </c>
      <c r="L73" s="629"/>
      <c r="M73" s="661"/>
      <c r="N73" s="744" t="s">
        <v>284</v>
      </c>
      <c r="O73" s="745" t="s">
        <v>298</v>
      </c>
      <c r="P73" s="746">
        <f>Q12</f>
        <v>-1341458.0800000089</v>
      </c>
      <c r="Q73" s="747">
        <f>S12</f>
        <v>-2541213</v>
      </c>
      <c r="R73" s="746">
        <f>P73+Q73</f>
        <v>-3882671.0800000089</v>
      </c>
      <c r="S73" s="661"/>
      <c r="T73" s="661"/>
      <c r="U73" s="661"/>
      <c r="V73" s="661"/>
      <c r="W73" s="661"/>
    </row>
    <row r="74" spans="1:23" s="734" customFormat="1" ht="103" customHeight="1">
      <c r="A74" s="661"/>
      <c r="B74" s="661"/>
      <c r="C74" s="661"/>
      <c r="D74" s="661"/>
      <c r="E74" s="661"/>
      <c r="F74" s="748" t="s">
        <v>261</v>
      </c>
      <c r="G74" s="748"/>
      <c r="H74" s="749">
        <f>Q33</f>
        <v>5738338.9510000004</v>
      </c>
      <c r="I74" s="749">
        <f>S33</f>
        <v>2383261</v>
      </c>
      <c r="J74" s="749">
        <f>U33</f>
        <v>2062457.6106000049</v>
      </c>
      <c r="K74" s="749">
        <f>H74+I74+J74</f>
        <v>10184057.561600005</v>
      </c>
      <c r="L74" s="750"/>
      <c r="M74" s="661"/>
      <c r="N74" s="751" t="s">
        <v>285</v>
      </c>
      <c r="O74" s="752" t="s">
        <v>299</v>
      </c>
      <c r="P74" s="753">
        <f>Q13</f>
        <v>0</v>
      </c>
      <c r="Q74" s="753">
        <f>S13</f>
        <v>-1050000</v>
      </c>
      <c r="R74" s="753">
        <f>P74+Q74</f>
        <v>-1050000</v>
      </c>
      <c r="S74" s="661"/>
      <c r="T74" s="661"/>
      <c r="U74" s="661"/>
      <c r="V74" s="661"/>
      <c r="W74" s="661"/>
    </row>
    <row r="75" spans="1:23" s="734" customFormat="1" ht="94" customHeight="1" thickBot="1">
      <c r="A75" s="661"/>
      <c r="B75" s="661"/>
      <c r="C75" s="661"/>
      <c r="D75" s="661"/>
      <c r="E75" s="661"/>
      <c r="F75" s="754" t="s">
        <v>249</v>
      </c>
      <c r="G75" s="754"/>
      <c r="H75" s="755">
        <f>Q34</f>
        <v>0</v>
      </c>
      <c r="I75" s="755">
        <f>S34</f>
        <v>2500000</v>
      </c>
      <c r="J75" s="755">
        <f>U34</f>
        <v>6900668.5184000041</v>
      </c>
      <c r="K75" s="755">
        <f>H75+I75+J75</f>
        <v>9400668.5184000041</v>
      </c>
      <c r="L75" s="756"/>
      <c r="M75" s="661"/>
      <c r="N75" s="751" t="s">
        <v>286</v>
      </c>
      <c r="O75" s="752" t="s">
        <v>300</v>
      </c>
      <c r="P75" s="753">
        <f>Q14</f>
        <v>0</v>
      </c>
      <c r="Q75" s="757">
        <f>S14</f>
        <v>-1500000</v>
      </c>
      <c r="R75" s="757">
        <f>P75+Q75</f>
        <v>-1500000</v>
      </c>
      <c r="S75" s="661"/>
      <c r="T75" s="661"/>
      <c r="U75" s="661"/>
      <c r="V75" s="661"/>
      <c r="W75" s="661"/>
    </row>
    <row r="76" spans="1:23" s="734" customFormat="1" ht="18" customHeight="1" thickBot="1">
      <c r="A76" s="661"/>
      <c r="B76" s="661"/>
      <c r="C76" s="661"/>
      <c r="D76" s="661"/>
      <c r="E76" s="661"/>
      <c r="F76" s="758"/>
      <c r="G76" s="758"/>
      <c r="H76" s="736"/>
      <c r="I76" s="736"/>
      <c r="J76" s="736"/>
      <c r="K76" s="759"/>
      <c r="L76" s="661"/>
      <c r="M76" s="661"/>
      <c r="N76" s="760" t="s">
        <v>287</v>
      </c>
      <c r="O76" s="761"/>
      <c r="P76" s="762">
        <f>SUM(P73:P75)</f>
        <v>-1341458.0800000089</v>
      </c>
      <c r="Q76" s="762">
        <f>SUM(Q73:Q75)</f>
        <v>-5091213</v>
      </c>
      <c r="R76" s="763">
        <f>SUM(R73:R75)</f>
        <v>-6432671.0800000094</v>
      </c>
      <c r="S76" s="661"/>
      <c r="T76" s="661"/>
      <c r="U76" s="661"/>
      <c r="V76" s="661"/>
      <c r="W76" s="661"/>
    </row>
    <row r="77" spans="1:23" s="734" customFormat="1" ht="29" customHeight="1" thickTop="1">
      <c r="A77" s="661"/>
      <c r="B77" s="661"/>
      <c r="C77" s="661"/>
      <c r="D77" s="661"/>
      <c r="E77" s="661"/>
      <c r="F77" s="764" t="s">
        <v>272</v>
      </c>
      <c r="G77" s="764"/>
      <c r="H77" s="765">
        <f>H74+H75</f>
        <v>5738338.9510000004</v>
      </c>
      <c r="I77" s="765">
        <f>I74+I75</f>
        <v>4883261</v>
      </c>
      <c r="J77" s="765">
        <f>J74+J75</f>
        <v>8963126.1290000081</v>
      </c>
      <c r="K77" s="765">
        <f>K74+K75</f>
        <v>19584726.080000009</v>
      </c>
      <c r="L77" s="766"/>
      <c r="M77" s="661"/>
      <c r="N77" s="661"/>
      <c r="O77" s="661"/>
      <c r="P77" s="661"/>
      <c r="Q77" s="661"/>
      <c r="R77" s="661"/>
      <c r="S77" s="661"/>
      <c r="T77" s="661"/>
      <c r="U77" s="661"/>
      <c r="V77" s="661"/>
      <c r="W77" s="661"/>
    </row>
    <row r="78" spans="1:23" s="726" customFormat="1">
      <c r="A78" s="661"/>
      <c r="B78" s="661"/>
      <c r="C78" s="661"/>
      <c r="D78" s="661"/>
      <c r="E78" s="661"/>
      <c r="F78" s="758"/>
      <c r="G78" s="758"/>
      <c r="H78" s="758"/>
      <c r="I78" s="758"/>
      <c r="J78" s="758"/>
      <c r="K78" s="767"/>
      <c r="L78" s="661"/>
      <c r="M78" s="661"/>
      <c r="N78" s="657" t="s">
        <v>324</v>
      </c>
      <c r="O78" s="658"/>
      <c r="P78" s="658"/>
      <c r="Q78" s="658"/>
      <c r="R78" s="658"/>
      <c r="S78" s="661"/>
      <c r="T78" s="661"/>
      <c r="U78" s="661"/>
      <c r="V78" s="661"/>
      <c r="W78" s="661"/>
    </row>
    <row r="79" spans="1:23" s="726" customFormat="1" ht="45" customHeight="1" thickBot="1">
      <c r="A79" s="661"/>
      <c r="B79" s="661"/>
      <c r="C79" s="661"/>
      <c r="D79" s="661"/>
      <c r="E79" s="661"/>
      <c r="F79" s="752" t="s">
        <v>273</v>
      </c>
      <c r="G79" s="752"/>
      <c r="H79" s="752">
        <v>0</v>
      </c>
      <c r="I79" s="757">
        <f>S31</f>
        <v>4430118</v>
      </c>
      <c r="J79" s="757">
        <f>U31</f>
        <v>3120000</v>
      </c>
      <c r="K79" s="757">
        <f>H79+I79+J79</f>
        <v>7550118</v>
      </c>
      <c r="L79" s="730"/>
      <c r="M79" s="661"/>
      <c r="N79" s="741" t="s">
        <v>283</v>
      </c>
      <c r="O79" s="768" t="s">
        <v>297</v>
      </c>
      <c r="P79" s="768" t="s">
        <v>275</v>
      </c>
      <c r="Q79" s="768" t="s">
        <v>315</v>
      </c>
      <c r="R79" s="768" t="s">
        <v>316</v>
      </c>
      <c r="S79" s="661"/>
      <c r="T79" s="661"/>
      <c r="U79" s="661"/>
      <c r="V79" s="661"/>
      <c r="W79" s="661"/>
    </row>
    <row r="80" spans="1:23" s="726" customFormat="1" ht="64" customHeight="1" thickBot="1">
      <c r="A80" s="661"/>
      <c r="B80" s="661"/>
      <c r="C80" s="661"/>
      <c r="D80" s="661"/>
      <c r="E80" s="661"/>
      <c r="F80" s="648" t="s">
        <v>274</v>
      </c>
      <c r="G80" s="648"/>
      <c r="H80" s="648">
        <f>H77+H79</f>
        <v>5738338.9510000004</v>
      </c>
      <c r="I80" s="648">
        <f>I77+I79</f>
        <v>9313379</v>
      </c>
      <c r="J80" s="648">
        <f>J77+J79</f>
        <v>12083126.129000008</v>
      </c>
      <c r="K80" s="648">
        <f>K77+K79</f>
        <v>27134844.080000009</v>
      </c>
      <c r="L80" s="649"/>
      <c r="M80" s="661"/>
      <c r="N80" s="769" t="s">
        <v>288</v>
      </c>
      <c r="O80" s="770" t="s">
        <v>301</v>
      </c>
      <c r="P80" s="746">
        <f>Q19</f>
        <v>-1700000</v>
      </c>
      <c r="Q80" s="746">
        <f>S19</f>
        <v>0</v>
      </c>
      <c r="R80" s="746">
        <f>P80+Q80</f>
        <v>-1700000</v>
      </c>
      <c r="S80" s="661"/>
      <c r="T80" s="661"/>
      <c r="U80" s="661"/>
      <c r="V80" s="661"/>
      <c r="W80" s="661"/>
    </row>
    <row r="81" spans="1:23" s="726" customFormat="1" ht="79" customHeight="1" thickTop="1">
      <c r="A81" s="661"/>
      <c r="B81" s="661"/>
      <c r="C81" s="661"/>
      <c r="D81" s="661"/>
      <c r="E81" s="661"/>
      <c r="F81" s="661"/>
      <c r="G81" s="661"/>
      <c r="H81" s="661"/>
      <c r="I81" s="661"/>
      <c r="J81" s="661"/>
      <c r="K81" s="661"/>
      <c r="L81" s="661"/>
      <c r="M81" s="661"/>
      <c r="N81" s="771" t="s">
        <v>289</v>
      </c>
      <c r="O81" s="730" t="s">
        <v>302</v>
      </c>
      <c r="P81" s="772">
        <f>Q20</f>
        <v>-136000</v>
      </c>
      <c r="Q81" s="772">
        <f>S20</f>
        <v>-225000</v>
      </c>
      <c r="R81" s="772">
        <f>P81+Q81</f>
        <v>-361000</v>
      </c>
      <c r="S81" s="661"/>
      <c r="T81" s="661"/>
      <c r="U81" s="661"/>
      <c r="V81" s="661"/>
      <c r="W81" s="661"/>
    </row>
    <row r="82" spans="1:23" s="726" customFormat="1" ht="83" customHeight="1">
      <c r="A82" s="661"/>
      <c r="B82" s="661"/>
      <c r="C82" s="661"/>
      <c r="D82" s="661"/>
      <c r="E82" s="661"/>
      <c r="F82" s="803" t="s">
        <v>318</v>
      </c>
      <c r="G82" s="803"/>
      <c r="H82" s="803"/>
      <c r="I82" s="803"/>
      <c r="J82" s="803"/>
      <c r="K82" s="803"/>
      <c r="L82" s="773" t="s">
        <v>319</v>
      </c>
      <c r="M82" s="774"/>
      <c r="N82" s="771" t="s">
        <v>290</v>
      </c>
      <c r="O82" s="730" t="s">
        <v>327</v>
      </c>
      <c r="P82" s="772">
        <f>Q17</f>
        <v>0</v>
      </c>
      <c r="Q82" s="772">
        <f>S17</f>
        <v>-4000000</v>
      </c>
      <c r="R82" s="772">
        <f>P82+Q82</f>
        <v>-4000000</v>
      </c>
      <c r="S82" s="661"/>
      <c r="T82" s="661"/>
      <c r="U82" s="661"/>
      <c r="V82" s="661"/>
      <c r="W82" s="661"/>
    </row>
    <row r="83" spans="1:23" s="726" customFormat="1" ht="70">
      <c r="A83" s="661"/>
      <c r="B83" s="661"/>
      <c r="C83" s="661"/>
      <c r="D83" s="661"/>
      <c r="E83" s="661"/>
      <c r="F83" s="775" t="s">
        <v>278</v>
      </c>
      <c r="G83" s="775" t="s">
        <v>317</v>
      </c>
      <c r="H83" s="784" t="s">
        <v>279</v>
      </c>
      <c r="I83" s="784" t="s">
        <v>280</v>
      </c>
      <c r="J83" s="784" t="s">
        <v>281</v>
      </c>
      <c r="K83" s="775" t="s">
        <v>320</v>
      </c>
      <c r="L83" s="775"/>
      <c r="M83" s="774"/>
      <c r="N83" s="771" t="s">
        <v>291</v>
      </c>
      <c r="O83" s="730" t="s">
        <v>303</v>
      </c>
      <c r="P83" s="772">
        <f>Q22</f>
        <v>0</v>
      </c>
      <c r="Q83" s="772">
        <f>S22</f>
        <v>-1500000</v>
      </c>
      <c r="R83" s="772">
        <f>P83+Q83</f>
        <v>-1500000</v>
      </c>
      <c r="S83" s="661"/>
      <c r="T83" s="661"/>
      <c r="U83" s="661"/>
      <c r="V83" s="661"/>
      <c r="W83" s="661"/>
    </row>
    <row r="84" spans="1:23" s="776" customFormat="1" ht="34" customHeight="1">
      <c r="A84" s="661"/>
      <c r="B84" s="661"/>
      <c r="C84" s="661"/>
      <c r="D84" s="661"/>
      <c r="E84" s="661"/>
      <c r="F84" s="785" t="s">
        <v>261</v>
      </c>
      <c r="G84" s="801">
        <f>H74+I74</f>
        <v>8121599.9510000004</v>
      </c>
      <c r="H84" s="786">
        <f>ROUND(J74/3,2)</f>
        <v>687485.87</v>
      </c>
      <c r="I84" s="786">
        <f>H84</f>
        <v>687485.87</v>
      </c>
      <c r="J84" s="786">
        <f>J74-H84-I84</f>
        <v>687485.8706000048</v>
      </c>
      <c r="K84" s="787">
        <f>K74</f>
        <v>10184057.561600005</v>
      </c>
      <c r="L84" s="788">
        <f>K74/(K74+K75)</f>
        <v>0.52</v>
      </c>
      <c r="M84" s="774"/>
      <c r="N84" s="771"/>
      <c r="O84" s="730"/>
      <c r="P84" s="772"/>
      <c r="Q84" s="772"/>
      <c r="R84" s="772"/>
      <c r="S84" s="661"/>
      <c r="T84" s="661"/>
      <c r="U84" s="661"/>
      <c r="V84" s="661"/>
      <c r="W84" s="661"/>
    </row>
    <row r="85" spans="1:23" s="726" customFormat="1" ht="80" customHeight="1">
      <c r="A85" s="625"/>
      <c r="B85" s="625"/>
      <c r="C85" s="625"/>
      <c r="D85" s="625"/>
      <c r="E85" s="625"/>
      <c r="F85" s="785" t="s">
        <v>249</v>
      </c>
      <c r="G85" s="801">
        <f>H75+I75</f>
        <v>2500000</v>
      </c>
      <c r="H85" s="786">
        <v>2500000</v>
      </c>
      <c r="I85" s="789">
        <v>2500000</v>
      </c>
      <c r="J85" s="786">
        <f>J75-H85-I85</f>
        <v>1900668.5184000041</v>
      </c>
      <c r="K85" s="787">
        <f>K75</f>
        <v>9400668.5184000041</v>
      </c>
      <c r="L85" s="788">
        <f>K75/(K74+K75)</f>
        <v>0.48</v>
      </c>
      <c r="M85" s="774"/>
      <c r="N85" s="771" t="s">
        <v>292</v>
      </c>
      <c r="O85" s="730" t="s">
        <v>304</v>
      </c>
      <c r="P85" s="772">
        <f>Q23</f>
        <v>-851987</v>
      </c>
      <c r="Q85" s="772">
        <f>S23</f>
        <v>-395295</v>
      </c>
      <c r="R85" s="772">
        <f>P85+Q85</f>
        <v>-1247282</v>
      </c>
      <c r="S85" s="661"/>
      <c r="T85" s="661"/>
      <c r="U85" s="661"/>
      <c r="V85" s="661"/>
      <c r="W85" s="661"/>
    </row>
    <row r="86" spans="1:23" s="726" customFormat="1" ht="76" customHeight="1">
      <c r="A86" s="625"/>
      <c r="B86" s="625"/>
      <c r="C86" s="625"/>
      <c r="D86" s="625"/>
      <c r="E86" s="625"/>
      <c r="F86" s="661"/>
      <c r="G86" s="661"/>
      <c r="H86" s="661"/>
      <c r="I86" s="661"/>
      <c r="J86" s="661"/>
      <c r="K86" s="661"/>
      <c r="L86" s="661"/>
      <c r="M86" s="661"/>
      <c r="N86" s="771" t="s">
        <v>293</v>
      </c>
      <c r="O86" s="730" t="s">
        <v>305</v>
      </c>
      <c r="P86" s="777">
        <f>Q24</f>
        <v>-1143556</v>
      </c>
      <c r="Q86" s="777">
        <f>S24</f>
        <v>-703531</v>
      </c>
      <c r="R86" s="777">
        <f>P86+Q86</f>
        <v>-1847087</v>
      </c>
      <c r="S86" s="661"/>
      <c r="T86" s="661"/>
      <c r="U86" s="661"/>
      <c r="V86" s="661"/>
      <c r="W86" s="661"/>
    </row>
    <row r="87" spans="1:23" s="726" customFormat="1" ht="77" customHeight="1">
      <c r="A87" s="625"/>
      <c r="B87" s="625"/>
      <c r="C87" s="625"/>
      <c r="D87" s="625"/>
      <c r="E87" s="625"/>
      <c r="F87" s="802">
        <f>H85+J85+I85</f>
        <v>6900668.5184000041</v>
      </c>
      <c r="G87" s="625"/>
      <c r="H87" s="625"/>
      <c r="I87" s="625"/>
      <c r="J87" s="625"/>
      <c r="K87" s="661"/>
      <c r="L87" s="661"/>
      <c r="M87" s="661"/>
      <c r="N87" s="771" t="s">
        <v>294</v>
      </c>
      <c r="O87" s="730" t="s">
        <v>328</v>
      </c>
      <c r="P87" s="777">
        <f>Q25</f>
        <v>-1049140</v>
      </c>
      <c r="Q87" s="777">
        <f>S25</f>
        <v>-3375964</v>
      </c>
      <c r="R87" s="777">
        <f>P87+Q87</f>
        <v>-4425104</v>
      </c>
      <c r="S87" s="661"/>
      <c r="T87" s="661"/>
      <c r="U87" s="661"/>
      <c r="V87" s="661"/>
      <c r="W87" s="661"/>
    </row>
    <row r="88" spans="1:23" s="726" customFormat="1" ht="113" customHeight="1" thickBot="1">
      <c r="A88" s="625"/>
      <c r="B88" s="625"/>
      <c r="C88" s="625"/>
      <c r="D88" s="625"/>
      <c r="E88" s="625"/>
      <c r="F88" s="625"/>
      <c r="G88" s="625"/>
      <c r="H88" s="625"/>
      <c r="I88" s="625"/>
      <c r="J88" s="625"/>
      <c r="K88" s="631"/>
      <c r="L88" s="661"/>
      <c r="M88" s="661"/>
      <c r="N88" s="771" t="s">
        <v>295</v>
      </c>
      <c r="O88" s="730" t="s">
        <v>326</v>
      </c>
      <c r="P88" s="777">
        <f>Q26</f>
        <v>373300</v>
      </c>
      <c r="Q88" s="777">
        <f>S26</f>
        <v>-5770000</v>
      </c>
      <c r="R88" s="777">
        <f>P88+Q88</f>
        <v>-5396700</v>
      </c>
      <c r="S88" s="661"/>
      <c r="T88" s="661"/>
      <c r="U88" s="661"/>
      <c r="V88" s="661"/>
      <c r="W88" s="661"/>
    </row>
    <row r="89" spans="1:23" ht="38" customHeight="1" thickBot="1">
      <c r="A89" s="625"/>
      <c r="B89" s="625"/>
      <c r="C89" s="625"/>
      <c r="D89" s="625"/>
      <c r="E89" s="625"/>
      <c r="F89" s="625"/>
      <c r="G89" s="625"/>
      <c r="H89" s="625"/>
      <c r="I89" s="625"/>
      <c r="J89" s="625"/>
      <c r="K89" s="631"/>
      <c r="L89" s="631"/>
      <c r="M89" s="631"/>
      <c r="N89" s="760" t="s">
        <v>325</v>
      </c>
      <c r="O89" s="761"/>
      <c r="P89" s="762">
        <f>SUM(P80:P88)</f>
        <v>-4507383</v>
      </c>
      <c r="Q89" s="762">
        <f>SUM(Q80:Q88)</f>
        <v>-15969790</v>
      </c>
      <c r="R89" s="763">
        <f>SUM(R80:R88)</f>
        <v>-20477173</v>
      </c>
      <c r="S89" s="631"/>
      <c r="T89" s="631"/>
      <c r="U89" s="631"/>
      <c r="V89" s="631"/>
      <c r="W89" s="631"/>
    </row>
    <row r="90" spans="1:23" s="781" customFormat="1" ht="24" customHeight="1" thickTop="1">
      <c r="A90" s="625"/>
      <c r="B90" s="625"/>
      <c r="C90" s="625"/>
      <c r="D90" s="625"/>
      <c r="E90" s="625"/>
      <c r="F90" s="625"/>
      <c r="G90" s="625"/>
      <c r="H90" s="625"/>
      <c r="I90" s="625"/>
      <c r="J90" s="625"/>
      <c r="K90" s="631"/>
      <c r="L90" s="631"/>
      <c r="M90" s="631"/>
      <c r="N90" s="778"/>
      <c r="O90" s="661"/>
      <c r="P90" s="779"/>
      <c r="Q90" s="779"/>
      <c r="R90" s="780"/>
      <c r="S90" s="631"/>
      <c r="T90" s="631"/>
      <c r="U90" s="631"/>
      <c r="V90" s="631"/>
      <c r="W90" s="631"/>
    </row>
    <row r="91" spans="1:23" s="781" customFormat="1" ht="17" customHeight="1">
      <c r="A91" s="625"/>
      <c r="B91" s="625"/>
      <c r="C91" s="625"/>
      <c r="D91" s="625"/>
      <c r="E91" s="625"/>
      <c r="F91" s="631"/>
      <c r="G91" s="631"/>
      <c r="H91" s="631"/>
      <c r="I91" s="631"/>
      <c r="J91" s="631"/>
      <c r="K91" s="631"/>
      <c r="L91" s="631"/>
      <c r="M91" s="631"/>
      <c r="N91" s="659" t="s">
        <v>296</v>
      </c>
      <c r="O91" s="659"/>
      <c r="P91" s="660">
        <f>P76+P89</f>
        <v>-5848841.0800000094</v>
      </c>
      <c r="Q91" s="660">
        <f>Q76+Q89</f>
        <v>-21061003</v>
      </c>
      <c r="R91" s="660">
        <f>T27</f>
        <v>-27134844.080000009</v>
      </c>
      <c r="S91" s="631"/>
      <c r="T91" s="631"/>
      <c r="U91" s="631"/>
      <c r="V91" s="631"/>
      <c r="W91" s="631"/>
    </row>
    <row r="92" spans="1:23">
      <c r="A92" s="631"/>
      <c r="B92" s="631"/>
      <c r="C92" s="631"/>
      <c r="D92" s="631"/>
      <c r="E92" s="631"/>
      <c r="F92" s="625"/>
      <c r="G92" s="625"/>
      <c r="H92" s="625"/>
      <c r="I92" s="625"/>
      <c r="J92" s="625"/>
      <c r="K92" s="631"/>
      <c r="L92" s="631"/>
      <c r="M92" s="631"/>
      <c r="N92" s="631"/>
      <c r="O92" s="782"/>
      <c r="P92" s="782"/>
      <c r="Q92" s="782"/>
      <c r="R92" s="631"/>
      <c r="S92" s="631"/>
      <c r="T92" s="631"/>
      <c r="U92" s="631"/>
      <c r="V92" s="631"/>
      <c r="W92" s="631"/>
    </row>
    <row r="93" spans="1:23" ht="17" customHeight="1">
      <c r="A93" s="625"/>
      <c r="B93" s="625"/>
      <c r="C93" s="625"/>
      <c r="D93" s="625"/>
      <c r="E93" s="625"/>
      <c r="F93" s="625"/>
      <c r="G93" s="625"/>
      <c r="H93" s="625"/>
      <c r="I93" s="625"/>
      <c r="J93" s="625"/>
      <c r="K93" s="625"/>
      <c r="L93" s="631"/>
      <c r="M93" s="631"/>
      <c r="N93" s="631"/>
      <c r="O93" s="631"/>
      <c r="P93" s="631"/>
      <c r="Q93" s="631"/>
      <c r="R93" s="631"/>
      <c r="S93" s="631"/>
      <c r="T93" s="631"/>
      <c r="U93" s="631"/>
      <c r="V93" s="631"/>
      <c r="W93" s="631"/>
    </row>
    <row r="94" spans="1:23" ht="17" customHeight="1">
      <c r="A94" s="625"/>
      <c r="B94" s="625"/>
      <c r="C94" s="625"/>
      <c r="D94" s="625"/>
      <c r="E94" s="625"/>
      <c r="F94" s="625"/>
      <c r="G94" s="625"/>
      <c r="H94" s="625"/>
      <c r="I94" s="625"/>
      <c r="J94" s="625"/>
      <c r="K94" s="625"/>
      <c r="L94" s="631"/>
      <c r="M94" s="631"/>
      <c r="N94" s="631"/>
      <c r="O94" s="631"/>
      <c r="P94" s="631"/>
      <c r="Q94" s="631"/>
      <c r="R94" s="631"/>
      <c r="S94" s="631"/>
      <c r="T94" s="631"/>
      <c r="U94" s="631"/>
      <c r="V94" s="631"/>
      <c r="W94" s="631"/>
    </row>
    <row r="95" spans="1:23" ht="48" customHeight="1">
      <c r="A95" s="625"/>
      <c r="B95" s="625"/>
      <c r="C95" s="625"/>
      <c r="D95" s="625"/>
      <c r="E95" s="625"/>
      <c r="F95" s="625"/>
      <c r="G95" s="625"/>
      <c r="H95" s="625"/>
      <c r="I95" s="625"/>
      <c r="J95" s="625"/>
      <c r="K95" s="625"/>
      <c r="L95" s="631"/>
      <c r="M95" s="631"/>
      <c r="N95" s="631"/>
      <c r="O95" s="631"/>
      <c r="P95" s="631"/>
      <c r="Q95" s="631"/>
      <c r="R95" s="631"/>
      <c r="S95" s="631"/>
      <c r="T95" s="631"/>
      <c r="U95" s="631"/>
      <c r="V95" s="631"/>
      <c r="W95" s="631"/>
    </row>
    <row r="96" spans="1:23" ht="16" customHeight="1">
      <c r="A96" s="625"/>
      <c r="B96" s="625"/>
      <c r="C96" s="625"/>
      <c r="D96" s="625"/>
      <c r="E96" s="625"/>
      <c r="F96" s="625"/>
      <c r="G96" s="625"/>
      <c r="H96" s="625"/>
      <c r="I96" s="625"/>
      <c r="J96" s="625"/>
      <c r="K96" s="625"/>
      <c r="L96" s="631"/>
      <c r="M96" s="631"/>
      <c r="N96" s="631"/>
      <c r="O96" s="631"/>
      <c r="P96" s="631"/>
      <c r="Q96" s="631"/>
      <c r="R96" s="631"/>
      <c r="S96" s="631"/>
      <c r="T96" s="631"/>
      <c r="U96" s="631"/>
      <c r="V96" s="631"/>
      <c r="W96" s="631"/>
    </row>
    <row r="97" spans="1:23" ht="17" customHeight="1">
      <c r="A97" s="625"/>
      <c r="B97" s="625"/>
      <c r="C97" s="625"/>
      <c r="D97" s="625"/>
      <c r="E97" s="625"/>
      <c r="F97" s="625"/>
      <c r="G97" s="625"/>
      <c r="H97" s="625"/>
      <c r="I97" s="625"/>
      <c r="J97" s="625"/>
      <c r="K97" s="625"/>
      <c r="L97" s="631"/>
      <c r="M97" s="631"/>
      <c r="N97" s="631"/>
      <c r="O97" s="631"/>
      <c r="P97" s="631"/>
      <c r="Q97" s="631"/>
      <c r="R97" s="631"/>
      <c r="S97" s="631"/>
      <c r="T97" s="631"/>
      <c r="U97" s="631"/>
      <c r="V97" s="631"/>
      <c r="W97" s="631"/>
    </row>
    <row r="98" spans="1:23" ht="31" customHeight="1">
      <c r="A98" s="625"/>
      <c r="B98" s="625"/>
      <c r="C98" s="625"/>
      <c r="D98" s="625"/>
      <c r="E98" s="625"/>
      <c r="F98" s="625"/>
      <c r="G98" s="625"/>
      <c r="H98" s="625"/>
      <c r="I98" s="625"/>
      <c r="J98" s="625"/>
      <c r="K98" s="625"/>
      <c r="L98" s="631"/>
      <c r="M98" s="631"/>
      <c r="N98" s="631"/>
      <c r="O98" s="631"/>
      <c r="P98" s="631"/>
      <c r="Q98" s="631"/>
      <c r="R98" s="625"/>
      <c r="S98" s="625"/>
      <c r="T98" s="625"/>
      <c r="U98" s="625"/>
      <c r="V98" s="625"/>
      <c r="W98" s="631"/>
    </row>
    <row r="99" spans="1:23">
      <c r="A99" s="625"/>
      <c r="B99" s="625"/>
      <c r="C99" s="625"/>
      <c r="D99" s="625"/>
      <c r="E99" s="625"/>
      <c r="F99" s="625"/>
      <c r="G99" s="625"/>
      <c r="H99" s="625"/>
      <c r="I99" s="625"/>
      <c r="J99" s="625"/>
      <c r="K99" s="625"/>
      <c r="L99" s="631"/>
      <c r="M99" s="631"/>
      <c r="N99" s="631"/>
      <c r="O99" s="631"/>
      <c r="P99" s="631"/>
      <c r="Q99" s="631"/>
      <c r="R99" s="780"/>
      <c r="S99" s="780"/>
      <c r="T99" s="780"/>
      <c r="U99" s="780"/>
      <c r="V99" s="780"/>
      <c r="W99" s="631"/>
    </row>
    <row r="100" spans="1:23">
      <c r="A100" s="625"/>
      <c r="B100" s="625"/>
      <c r="C100" s="625"/>
      <c r="D100" s="625"/>
      <c r="E100" s="625"/>
      <c r="F100" s="625"/>
      <c r="G100" s="625"/>
      <c r="H100" s="625"/>
      <c r="I100" s="625"/>
      <c r="J100" s="625"/>
      <c r="K100" s="625"/>
      <c r="L100" s="631"/>
      <c r="M100" s="631"/>
      <c r="N100" s="631"/>
      <c r="O100" s="631"/>
      <c r="P100" s="631"/>
      <c r="Q100" s="631"/>
      <c r="R100" s="780"/>
      <c r="S100" s="780"/>
      <c r="T100" s="780"/>
      <c r="U100" s="780"/>
      <c r="V100" s="780"/>
      <c r="W100" s="631"/>
    </row>
    <row r="101" spans="1:23">
      <c r="A101" s="625"/>
      <c r="B101" s="625"/>
      <c r="C101" s="625"/>
      <c r="D101" s="625"/>
      <c r="E101" s="625"/>
      <c r="F101" s="625"/>
      <c r="G101" s="625"/>
      <c r="H101" s="625"/>
      <c r="I101" s="625"/>
      <c r="J101" s="625"/>
      <c r="K101" s="625"/>
      <c r="L101" s="631"/>
      <c r="M101" s="631"/>
      <c r="N101" s="631"/>
      <c r="O101" s="631"/>
      <c r="P101" s="631"/>
      <c r="Q101" s="631"/>
      <c r="R101" s="631"/>
      <c r="S101" s="631"/>
      <c r="T101" s="631"/>
      <c r="U101" s="631"/>
      <c r="V101" s="631"/>
      <c r="W101" s="631"/>
    </row>
    <row r="102" spans="1:23">
      <c r="A102" s="625"/>
      <c r="B102" s="625"/>
      <c r="C102" s="625"/>
      <c r="D102" s="625"/>
      <c r="E102" s="625"/>
      <c r="F102" s="625"/>
      <c r="G102" s="625"/>
      <c r="H102" s="625"/>
      <c r="I102" s="625"/>
      <c r="J102" s="625"/>
      <c r="K102" s="625"/>
      <c r="L102" s="631"/>
      <c r="M102" s="631"/>
      <c r="N102" s="631"/>
      <c r="O102" s="631"/>
      <c r="P102" s="631"/>
      <c r="Q102" s="631"/>
      <c r="R102" s="780"/>
      <c r="S102" s="780"/>
      <c r="T102" s="780"/>
      <c r="U102" s="780"/>
      <c r="V102" s="780"/>
      <c r="W102" s="631"/>
    </row>
    <row r="103" spans="1:23">
      <c r="A103" s="625"/>
      <c r="B103" s="625"/>
      <c r="C103" s="625"/>
      <c r="D103" s="625"/>
      <c r="E103" s="625"/>
      <c r="F103" s="625"/>
      <c r="G103" s="625"/>
      <c r="H103" s="625"/>
      <c r="I103" s="625"/>
      <c r="J103" s="625"/>
      <c r="K103" s="625"/>
      <c r="L103" s="631"/>
      <c r="M103" s="631"/>
      <c r="N103" s="631"/>
      <c r="O103" s="631"/>
      <c r="P103" s="631"/>
      <c r="Q103" s="631"/>
      <c r="R103" s="631"/>
      <c r="S103" s="782"/>
      <c r="T103" s="631"/>
      <c r="U103" s="631"/>
      <c r="V103" s="631"/>
      <c r="W103" s="631"/>
    </row>
    <row r="104" spans="1:23">
      <c r="A104" s="625"/>
      <c r="B104" s="625"/>
      <c r="C104" s="625"/>
      <c r="D104" s="625"/>
      <c r="E104" s="625"/>
      <c r="F104" s="631"/>
      <c r="G104" s="631"/>
      <c r="H104" s="631"/>
      <c r="I104" s="631"/>
      <c r="J104" s="631"/>
      <c r="K104" s="631"/>
      <c r="L104" s="631"/>
      <c r="M104" s="631"/>
      <c r="N104" s="631"/>
      <c r="O104" s="631"/>
      <c r="P104" s="631"/>
      <c r="Q104" s="631"/>
      <c r="R104" s="631"/>
      <c r="S104" s="631"/>
      <c r="T104" s="631"/>
      <c r="U104" s="631"/>
      <c r="V104" s="631"/>
      <c r="W104" s="631"/>
    </row>
    <row r="105" spans="1:23" ht="17" customHeight="1">
      <c r="A105" s="631"/>
      <c r="B105" s="631"/>
      <c r="C105" s="631"/>
      <c r="D105" s="631"/>
      <c r="E105" s="631"/>
      <c r="F105" s="631"/>
      <c r="G105" s="631"/>
      <c r="H105" s="631"/>
      <c r="I105" s="631"/>
      <c r="J105" s="631"/>
      <c r="K105" s="631"/>
      <c r="L105" s="631"/>
      <c r="M105" s="631"/>
      <c r="N105" s="631"/>
      <c r="O105" s="631"/>
      <c r="P105" s="631"/>
      <c r="Q105" s="631"/>
      <c r="R105" s="631"/>
      <c r="S105" s="631"/>
      <c r="T105" s="780"/>
      <c r="U105" s="631"/>
      <c r="V105" s="631"/>
      <c r="W105" s="631"/>
    </row>
    <row r="106" spans="1:23">
      <c r="A106" s="631"/>
      <c r="B106" s="631"/>
      <c r="C106" s="631"/>
      <c r="D106" s="631"/>
      <c r="E106" s="631"/>
      <c r="F106" s="631"/>
      <c r="G106" s="631"/>
      <c r="H106" s="631"/>
      <c r="I106" s="631"/>
      <c r="J106" s="631"/>
      <c r="K106" s="631"/>
      <c r="L106" s="631"/>
      <c r="M106" s="631"/>
      <c r="N106" s="631"/>
      <c r="O106" s="631"/>
      <c r="P106" s="631"/>
      <c r="Q106" s="631"/>
      <c r="R106" s="631"/>
      <c r="S106" s="631"/>
      <c r="T106" s="631"/>
      <c r="U106" s="631"/>
      <c r="V106" s="631"/>
      <c r="W106" s="631"/>
    </row>
    <row r="107" spans="1:23">
      <c r="A107" s="631"/>
      <c r="B107" s="631"/>
      <c r="C107" s="631"/>
      <c r="D107" s="631"/>
      <c r="E107" s="631"/>
      <c r="F107" s="631"/>
      <c r="G107" s="631"/>
      <c r="H107" s="631"/>
      <c r="I107" s="631"/>
      <c r="J107" s="631"/>
      <c r="K107" s="631"/>
      <c r="L107" s="625"/>
      <c r="M107" s="625"/>
      <c r="N107" s="625"/>
      <c r="O107" s="625"/>
      <c r="P107" s="625"/>
      <c r="Q107" s="625"/>
      <c r="R107" s="631"/>
      <c r="S107" s="631"/>
      <c r="T107" s="631"/>
      <c r="U107" s="631"/>
      <c r="V107" s="631"/>
      <c r="W107" s="631"/>
    </row>
  </sheetData>
  <mergeCells count="17">
    <mergeCell ref="H64:K64"/>
    <mergeCell ref="F71:K71"/>
    <mergeCell ref="N71:R71"/>
    <mergeCell ref="N78:R78"/>
    <mergeCell ref="N91:O91"/>
    <mergeCell ref="H56:I56"/>
    <mergeCell ref="J56:K56"/>
    <mergeCell ref="O56:P56"/>
    <mergeCell ref="Q56:R56"/>
    <mergeCell ref="F63:K63"/>
    <mergeCell ref="N63:R63"/>
    <mergeCell ref="H2:O2"/>
    <mergeCell ref="H4:O4"/>
    <mergeCell ref="F5:I5"/>
    <mergeCell ref="J5:N5"/>
    <mergeCell ref="F55:K55"/>
    <mergeCell ref="N55:R55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Aelios </vt:lpstr>
      <vt:lpstr>BC Rev TL CF</vt:lpstr>
      <vt:lpstr>Equity calculation </vt:lpstr>
      <vt:lpstr>progress of works</vt:lpstr>
      <vt:lpstr>Aelios McKinsey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Leitner Thomas</dc:creator>
  <cp:lastModifiedBy>Dimitry Vallen</cp:lastModifiedBy>
  <dcterms:created xsi:type="dcterms:W3CDTF">2021-11-26T11:54:00Z</dcterms:created>
  <dcterms:modified xsi:type="dcterms:W3CDTF">2026-04-13T18:32:48Z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0x010100C4C3D3D78BAD6245B980BC3D41F670F1</vt:lpwstr>
  </property>
</Properties>
</file>