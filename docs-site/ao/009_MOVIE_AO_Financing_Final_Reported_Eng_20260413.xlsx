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" yWindow="600" windowWidth="36780" windowHeight="19300" tabRatio="600" firstSheet="0" activeTab="4" autoFilterDateGrouping="1"/>
  </bookViews>
  <sheets>
    <sheet xmlns:r="http://schemas.openxmlformats.org/officeDocument/2006/relationships" name="Aelios " sheetId="1" state="visible" r:id="rId1"/>
    <sheet xmlns:r="http://schemas.openxmlformats.org/officeDocument/2006/relationships" name="BC Rev TL CF" sheetId="2" state="visible" r:id="rId2"/>
    <sheet xmlns:r="http://schemas.openxmlformats.org/officeDocument/2006/relationships" name="Equity calculation " sheetId="3" state="visible" r:id="rId3"/>
    <sheet xmlns:r="http://schemas.openxmlformats.org/officeDocument/2006/relationships" name="progress of works" sheetId="4" state="visible" r:id="rId4"/>
    <sheet xmlns:r="http://schemas.openxmlformats.org/officeDocument/2006/relationships" name="Aelios McKinsey" sheetId="5" state="visible" r:id="rId5"/>
  </sheets>
  <externalReferences>
    <externalReference xmlns:r="http://schemas.openxmlformats.org/officeDocument/2006/relationships" r:id="rId6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_ * #,##0.00_ ;_ * \-#,##0.00_ ;_ * &quot;-&quot;??_ ;_ @_ "/>
    <numFmt numFmtId="166" formatCode="_ * #,##0_ ;_ * \-#,##0_ ;_ * &quot;-&quot;??_ ;_ @_ "/>
    <numFmt numFmtId="167" formatCode="0.0%"/>
    <numFmt numFmtId="168" formatCode="#,##0.0000"/>
  </numFmts>
  <fonts count="14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Avenir-Book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Times New Roman"/>
      <family val="1"/>
      <b val="1"/>
      <color rgb="FF000000"/>
      <sz val="11"/>
    </font>
    <font>
      <name val="Times New Roman"/>
      <family val="1"/>
      <sz val="12"/>
    </font>
    <font>
      <name val="Times New Roman"/>
      <family val="1"/>
      <color rgb="FF000000"/>
      <sz val="10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i val="1"/>
      <color theme="1"/>
      <sz val="14"/>
      <scheme val="minor"/>
    </font>
    <font>
      <name val="Arial"/>
      <family val="2"/>
      <sz val="10"/>
    </font>
    <font>
      <name val="Avenir Next Regular"/>
      <color theme="1"/>
      <sz val="14"/>
    </font>
    <font>
      <name val="Avenir Next Regular"/>
      <color theme="1"/>
      <sz val="12"/>
    </font>
    <font>
      <name val="Avenir Next Regular"/>
      <color theme="1" tint="0.249977111117893"/>
      <sz val="12"/>
    </font>
    <font>
      <name val="Times New Roman"/>
      <family val="1"/>
      <b val="1"/>
      <color rgb="FF000000"/>
      <sz val="12"/>
    </font>
    <font>
      <name val="Avenir Next Regular"/>
      <i val="1"/>
      <color theme="1" tint="0.249977111117893"/>
      <sz val="12"/>
    </font>
    <font>
      <name val="Avenir Next Regular"/>
      <i val="1"/>
      <color rgb="FFFF0000"/>
      <sz val="12"/>
    </font>
    <font>
      <name val="Avenir Next Regular"/>
      <b val="1"/>
      <color theme="1" tint="0.249977111117893"/>
      <sz val="12"/>
    </font>
    <font>
      <name val="Avenir Next Regular"/>
      <i val="1"/>
      <color theme="1" tint="0.249977111117893"/>
      <sz val="11"/>
    </font>
    <font>
      <name val="Avenir Next Regular"/>
      <i val="1"/>
      <color rgb="FFFF0000"/>
      <sz val="11"/>
    </font>
    <font>
      <name val="Avenir Next Demi Bold"/>
      <family val="2"/>
      <color theme="1" tint="0.249977111117893"/>
      <sz val="12"/>
    </font>
    <font>
      <name val="Avenir Next Regular"/>
      <b val="1"/>
      <color rgb="FFFF0000"/>
      <sz val="14"/>
    </font>
    <font>
      <name val="Avenir Next Regular"/>
      <b val="1"/>
      <color rgb="FFFF0000"/>
      <sz val="12"/>
    </font>
    <font>
      <name val="Avenir Next Regular"/>
      <b val="1"/>
      <color rgb="FFFF0000"/>
      <sz val="16"/>
    </font>
    <font>
      <name val="Avenir Next Regular"/>
      <i val="1"/>
      <color rgb="FFFF0000"/>
      <sz val="10"/>
    </font>
    <font>
      <name val="Avenir Next Demi Bold"/>
      <family val="2"/>
      <color rgb="FFFF0000"/>
      <sz val="12"/>
    </font>
    <font>
      <name val="Avenir Next Regular"/>
      <b val="1"/>
      <i val="1"/>
      <color theme="4"/>
      <sz val="12"/>
    </font>
    <font>
      <name val="Avenir Next Regular"/>
      <i val="1"/>
      <color theme="4"/>
      <sz val="12"/>
    </font>
    <font>
      <name val="Aptos Narrow"/>
      <family val="2"/>
      <color rgb="FF000000"/>
      <sz val="12"/>
    </font>
    <font>
      <name val="Aptos Narrow"/>
      <family val="2"/>
      <color theme="1"/>
      <sz val="12"/>
    </font>
    <font>
      <name val="Helvetica Neue"/>
      <family val="2"/>
      <color theme="1"/>
      <sz val="11"/>
    </font>
    <font>
      <name val="Proxima Nova Semibold"/>
      <family val="2"/>
      <color rgb="FFFFFFFF"/>
      <sz val="18"/>
    </font>
    <font>
      <name val="Proxima Nova Semibold"/>
      <family val="2"/>
      <color rgb="FFFFFFFF"/>
      <sz val="16"/>
    </font>
    <font>
      <name val="Aptos Narrow"/>
      <b val="1"/>
      <i val="1"/>
      <color rgb="FF215C98"/>
      <sz val="12"/>
    </font>
    <font>
      <name val="Proxima Nova Semibold"/>
      <family val="2"/>
      <b val="1"/>
      <color rgb="FFFFFFFF"/>
      <sz val="16"/>
    </font>
    <font>
      <name val="Aptos Narrow"/>
      <b val="1"/>
      <color rgb="FF002060"/>
      <sz val="12"/>
    </font>
    <font>
      <name val="Aptos Narrow"/>
      <family val="2"/>
      <b val="1"/>
      <color rgb="FF215C98"/>
      <sz val="12"/>
    </font>
    <font>
      <name val="Aptos Narrow"/>
      <family val="2"/>
      <b val="1"/>
      <color rgb="FF7E350E"/>
      <sz val="12"/>
    </font>
    <font>
      <name val="Aptos Narrow (Body)"/>
      <b val="1"/>
      <color rgb="FF000000"/>
      <sz val="12"/>
    </font>
    <font>
      <name val="Aptos Narrow"/>
      <family val="2"/>
      <b val="1"/>
      <color rgb="FF000000"/>
      <sz val="14"/>
    </font>
    <font>
      <name val="Aptos Narrow"/>
      <family val="2"/>
      <b val="1"/>
      <color rgb="FF7E350E"/>
      <sz val="14"/>
    </font>
    <font>
      <name val="Aptos Narrow"/>
      <family val="2"/>
      <b val="1"/>
      <color rgb="FF000000"/>
      <sz val="12"/>
    </font>
    <font>
      <name val="Aptos Narrow"/>
      <family val="2"/>
      <color rgb="FF000000"/>
      <sz val="14"/>
    </font>
    <font>
      <name val="Aptos Narrow"/>
      <family val="2"/>
      <color rgb="FF7E350E"/>
      <sz val="14"/>
    </font>
    <font>
      <name val="Avenir Next Regular"/>
      <color rgb="FF000000"/>
      <sz val="14"/>
    </font>
    <font>
      <name val="Avenir Next Regular"/>
      <b val="1"/>
      <color rgb="FF000000"/>
      <sz val="14"/>
    </font>
    <font>
      <name val="Avenir Next Regular"/>
      <color rgb="FF000000"/>
      <sz val="12"/>
    </font>
    <font>
      <name val="Avenir Next Regular"/>
      <b val="1"/>
      <color rgb="FF000000"/>
      <sz val="12"/>
    </font>
    <font>
      <name val="Proxima Nova Semibold"/>
      <family val="2"/>
      <color rgb="FF09447C"/>
      <sz val="12"/>
    </font>
    <font>
      <name val="Proxima Nova Semibold"/>
      <family val="2"/>
      <color rgb="FF7E350E"/>
      <sz val="12"/>
    </font>
    <font>
      <name val="Avenir Next Regular"/>
      <color rgb="FF09447C"/>
      <sz val="12"/>
    </font>
    <font>
      <name val="Avenir Next Regular"/>
      <b val="1"/>
      <color rgb="FF09447C"/>
      <sz val="12"/>
    </font>
    <font>
      <name val="Aptos Narrow"/>
      <b val="1"/>
      <color rgb="FF000000"/>
      <sz val="14"/>
    </font>
    <font>
      <name val="Aptos Narrow"/>
      <b val="1"/>
      <color rgb="FF7E350E"/>
      <sz val="14"/>
    </font>
    <font>
      <name val="Aptos Narrow"/>
      <i val="1"/>
      <color rgb="FF747474"/>
      <sz val="14"/>
    </font>
    <font>
      <name val="Avenir Next Regular"/>
      <i val="1"/>
      <color rgb="FF747474"/>
      <sz val="14"/>
    </font>
    <font>
      <name val="Avenir Next Regular"/>
      <b val="1"/>
      <color rgb="FF7E350E"/>
      <sz val="14"/>
    </font>
    <font>
      <name val="Avenir Next Regular"/>
      <b val="1"/>
      <color rgb="FF275317"/>
      <sz val="14"/>
    </font>
    <font>
      <name val="Avenir Next Regular"/>
      <b val="1"/>
      <i val="1"/>
      <color rgb="FF747474"/>
      <sz val="14"/>
    </font>
    <font>
      <name val="Aptos Narrow"/>
      <b val="1"/>
      <color rgb="FF747474"/>
      <sz val="14"/>
    </font>
    <font>
      <name val="Aptos Narrow"/>
      <b val="1"/>
      <sz val="14"/>
    </font>
    <font>
      <name val="Aptos Narrow"/>
      <b val="1"/>
      <i val="1"/>
      <sz val="14"/>
    </font>
    <font>
      <name val="Avenir Next Regular"/>
      <b val="1"/>
      <i val="1"/>
      <sz val="14"/>
    </font>
    <font>
      <name val="Aptos Narrow"/>
      <b val="1"/>
      <i val="1"/>
      <color rgb="FF000000"/>
      <sz val="14"/>
    </font>
    <font>
      <name val="Avenir Next Regular"/>
      <b val="1"/>
      <i val="1"/>
      <color rgb="FF000000"/>
      <sz val="14"/>
    </font>
    <font>
      <name val="Aptos Narrow"/>
      <b val="1"/>
      <color rgb="FFC00000"/>
      <sz val="14"/>
    </font>
    <font>
      <name val="Aptos Narrow"/>
      <b val="1"/>
      <i val="1"/>
      <color rgb="FFC00000"/>
      <sz val="14"/>
    </font>
    <font>
      <name val="Avenir Next Regular"/>
      <b val="1"/>
      <color rgb="FFC00000"/>
      <sz val="14"/>
    </font>
    <font>
      <name val="Aptos Narrow"/>
      <family val="2"/>
      <color rgb="FF275317"/>
      <sz val="12"/>
    </font>
    <font>
      <name val="Aptos Narrow"/>
      <b val="1"/>
      <color rgb="FF275317"/>
      <sz val="14"/>
    </font>
    <font>
      <name val="Aptos Narrow"/>
      <family val="2"/>
      <b val="1"/>
      <color rgb="FF275317"/>
      <sz val="14"/>
    </font>
    <font>
      <name val="Avenir Next Regular"/>
      <color rgb="FF275317"/>
      <sz val="14"/>
    </font>
    <font>
      <name val="Aptos Narrow"/>
      <b val="1"/>
      <color rgb="FF000000"/>
      <sz val="12"/>
    </font>
    <font>
      <name val="Avenir Next Regular"/>
      <i val="1"/>
      <color theme="2" tint="-0.499984740745262"/>
      <sz val="14"/>
    </font>
    <font>
      <name val="Aptos Narrow"/>
      <family val="2"/>
      <b val="1"/>
      <color rgb="FF215C98"/>
      <sz val="14"/>
    </font>
    <font>
      <name val="Aptos Narrow"/>
      <b val="1"/>
      <color theme="4" tint="-0.499984740745262"/>
      <sz val="12"/>
    </font>
    <font>
      <name val="Aptos Narrow"/>
      <b val="1"/>
      <color theme="1"/>
      <sz val="11"/>
    </font>
    <font>
      <name val="Aptos Narrow"/>
      <b val="1"/>
      <i val="1"/>
      <color theme="2" tint="-0.249977111117893"/>
      <sz val="14"/>
    </font>
    <font>
      <name val="Avenir Next Regular"/>
      <b val="1"/>
      <i val="1"/>
      <color rgb="FFC00000"/>
      <sz val="14"/>
    </font>
    <font>
      <name val="Aptos Narrow"/>
      <family val="2"/>
      <b val="1"/>
      <color rgb="FFC00000"/>
      <sz val="16"/>
    </font>
    <font>
      <name val="Times New Roman"/>
      <family val="1"/>
      <color theme="1"/>
      <sz val="12"/>
    </font>
    <font>
      <name val="Aptos Narrow"/>
      <color theme="9" tint="-0.249977111117893"/>
      <sz val="12"/>
    </font>
    <font>
      <name val="Aptos Narrow"/>
      <color theme="1"/>
      <sz val="12"/>
    </font>
    <font>
      <name val="Aptos Narrow"/>
      <color rgb="FFC00000"/>
      <sz val="12"/>
    </font>
    <font>
      <name val="Aptos Narrow"/>
      <b val="1"/>
      <color rgb="FF203764"/>
      <sz val="14"/>
    </font>
    <font>
      <name val="Aptos Narrow"/>
      <color rgb="FF000000"/>
      <sz val="12"/>
    </font>
    <font>
      <name val="Aptos Narrow"/>
      <b val="1"/>
      <color rgb="FF215C98"/>
      <sz val="14"/>
    </font>
    <font>
      <name val="Calibri"/>
      <family val="2"/>
      <sz val="10"/>
    </font>
    <font>
      <name val="Calibri"/>
      <family val="2"/>
      <b val="1"/>
      <color rgb="FF1A1A6E"/>
      <sz val="12"/>
    </font>
    <font>
      <name val="Aptos Narrow"/>
      <b val="1"/>
      <color rgb="FF203764"/>
      <sz val="12"/>
    </font>
    <font>
      <name val="Aptos Narrow"/>
      <color theme="7" tint="-0.249977111117893"/>
      <sz val="12"/>
    </font>
    <font>
      <name val="Aptos Narrow"/>
      <b val="1"/>
      <color theme="7" tint="-0.249977111117893"/>
      <sz val="12"/>
    </font>
    <font>
      <name val="Aptos Narrow"/>
      <b val="1"/>
      <color theme="1"/>
      <sz val="14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Calibri"/>
      <family val="2"/>
      <sz val="9"/>
    </font>
    <font>
      <name val="Aptos Narrow"/>
      <family val="2"/>
      <color theme="1"/>
      <sz val="16"/>
    </font>
    <font>
      <name val="Avenir Next Regular"/>
      <i val="1"/>
      <color theme="2" tint="-0.249977111117893"/>
      <sz val="14"/>
    </font>
    <font>
      <name val="Aptos Narrow"/>
      <color theme="1"/>
      <sz val="14"/>
    </font>
    <font>
      <name val="Calibri"/>
      <family val="2"/>
      <sz val="14"/>
    </font>
    <font>
      <name val="Aptos Narrow"/>
      <color rgb="FFC00000"/>
      <sz val="14"/>
    </font>
    <font>
      <name val="Calibri"/>
      <family val="2"/>
      <b val="1"/>
      <sz val="12"/>
    </font>
    <font>
      <name val="Aptos Narrow"/>
      <b val="1"/>
      <color theme="1"/>
      <sz val="12"/>
    </font>
    <font>
      <name val="Calibri"/>
      <family val="2"/>
      <sz val="12"/>
    </font>
    <font>
      <name val="Calibri (Body)"/>
      <b val="1"/>
      <color theme="1"/>
      <sz val="12"/>
    </font>
    <font>
      <name val="Calibri (Body)"/>
      <sz val="12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Aptos Narrow"/>
      <b val="1"/>
      <color theme="5" tint="-0.499984740745262"/>
      <sz val="14"/>
    </font>
    <font>
      <name val="Calibri"/>
      <family val="2"/>
      <color theme="5" tint="-0.499984740745262"/>
      <sz val="11"/>
      <scheme val="minor"/>
    </font>
    <font>
      <name val="Calibri"/>
      <family val="2"/>
      <b val="1"/>
      <color theme="5" tint="-0.499984740745262"/>
      <sz val="10"/>
    </font>
    <font>
      <name val="Calibri"/>
      <family val="2"/>
      <color theme="5" tint="-0.499984740745262"/>
      <sz val="9"/>
    </font>
    <font>
      <name val="Calibri"/>
      <family val="2"/>
      <color theme="5" tint="-0.499984740745262"/>
      <sz val="10"/>
    </font>
    <font>
      <name val="Calibri"/>
      <family val="2"/>
      <b val="1"/>
      <color rgb="FF1A1A6E"/>
      <sz val="10"/>
    </font>
    <font>
      <name val="Aptos Narrow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1A1A6E"/>
      <sz val="9"/>
    </font>
    <font>
      <name val="Calibri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FFFFFF"/>
      <sz val="10"/>
    </font>
    <font>
      <name val="Arial"/>
      <family val="2"/>
      <b val="1"/>
      <color rgb="FF1B2A4A"/>
      <sz val="10"/>
    </font>
    <font>
      <name val="Arial"/>
      <family val="2"/>
      <color rgb="FF666666"/>
      <sz val="10"/>
    </font>
    <font>
      <name val="Arial"/>
      <family val="2"/>
      <b val="1"/>
      <color rgb="FF666666"/>
      <sz val="10"/>
    </font>
    <font>
      <name val="Aptos Narrow"/>
      <family val="2"/>
      <color theme="1"/>
      <sz val="10"/>
    </font>
    <font>
      <name val="Arial"/>
      <family val="2"/>
      <b val="1"/>
      <color rgb="FFCC0000"/>
      <sz val="10"/>
    </font>
    <font>
      <name val="Arial"/>
      <family val="2"/>
      <b val="1"/>
      <color rgb="FF2E5090"/>
      <sz val="10"/>
    </font>
    <font>
      <name val="Arial"/>
      <family val="2"/>
      <b val="1"/>
      <color rgb="FF333333"/>
      <sz val="10"/>
    </font>
    <font>
      <name val="Arial"/>
      <family val="2"/>
      <i val="1"/>
      <color rgb="FF666666"/>
      <sz val="10"/>
    </font>
    <font>
      <name val="Aptos Narrow"/>
      <family val="2"/>
      <b val="1"/>
      <color rgb="FF000000"/>
      <sz val="10"/>
    </font>
    <font>
      <name val="Aptos Narrow"/>
      <family val="2"/>
      <color rgb="FF275317"/>
      <sz val="10"/>
    </font>
    <font>
      <name val="Arial"/>
      <family val="2"/>
      <b val="1"/>
      <color rgb="FF6B2D5B"/>
      <sz val="10"/>
    </font>
    <font>
      <name val="Arial"/>
      <family val="2"/>
      <color rgb="FFFF0000"/>
      <sz val="10"/>
    </font>
    <font>
      <name val="Aptos Narrow"/>
      <color theme="1"/>
      <sz val="10"/>
    </font>
    <font>
      <name val="Arial"/>
      <family val="2"/>
      <b val="1"/>
      <color rgb="FF2D5F2D"/>
      <sz val="10"/>
    </font>
    <font>
      <name val="Arial"/>
      <family val="2"/>
      <b val="1"/>
      <color rgb="FF1A5C5C"/>
      <sz val="10"/>
    </font>
  </fonts>
  <fills count="3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A9713A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0F1F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6E4F0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ECF2"/>
        <bgColor indexed="64"/>
      </patternFill>
    </fill>
    <fill>
      <patternFill patternType="solid">
        <fgColor rgb="FF6B2D5B"/>
        <bgColor indexed="64"/>
      </patternFill>
    </fill>
    <fill>
      <patternFill patternType="solid">
        <fgColor rgb="FFF2E4EF"/>
        <bgColor indexed="64"/>
      </patternFill>
    </fill>
    <fill>
      <patternFill patternType="solid">
        <fgColor rgb="FF2D5F2D"/>
        <bgColor indexed="64"/>
      </patternFill>
    </fill>
    <fill>
      <patternFill patternType="solid">
        <fgColor rgb="FF1A5C5C"/>
        <bgColor indexed="64"/>
      </patternFill>
    </fill>
    <fill>
      <patternFill patternType="solid">
        <fgColor rgb="FFE0F0F0"/>
        <bgColor indexed="64"/>
      </patternFill>
    </fill>
    <fill>
      <patternFill patternType="solid">
        <fgColor rgb="FF92D050"/>
        <bgColor rgb="FF92D050"/>
      </patternFill>
    </fill>
  </fills>
  <borders count="9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9447C"/>
      </left>
      <right/>
      <top style="thin">
        <color rgb="FF09447C"/>
      </top>
      <bottom style="thin">
        <color rgb="FF09447C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9447C"/>
      </right>
      <top style="thin">
        <color rgb="FF09447C"/>
      </top>
      <bottom style="thin">
        <color rgb="FF09447C"/>
      </bottom>
      <diagonal/>
    </border>
    <border>
      <left style="thin">
        <color indexed="64"/>
      </left>
      <right/>
      <top/>
      <bottom/>
      <diagonal/>
    </border>
    <border>
      <left style="thin">
        <color rgb="FF09447C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9447C"/>
      </left>
      <right style="thin">
        <color rgb="FF09447C"/>
      </right>
      <top style="thin">
        <color rgb="FF09447C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1B2A4A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double">
        <color rgb="FF1B2A4A"/>
      </bottom>
      <diagonal/>
    </border>
    <border>
      <left/>
      <right/>
      <top style="double">
        <color rgb="FF1B2A4A"/>
      </top>
      <bottom style="thin">
        <color rgb="FFCCCCCC"/>
      </bottom>
      <diagonal/>
    </border>
    <border>
      <left/>
      <right/>
      <top style="medium">
        <color rgb="FF1B2A4A"/>
      </top>
      <bottom style="thin">
        <color rgb="FFCCCCCC"/>
      </bottom>
      <diagonal/>
    </border>
    <border>
      <left/>
      <right/>
      <top/>
      <bottom style="thin">
        <color rgb="FF6B2D5B"/>
      </bottom>
      <diagonal/>
    </border>
    <border>
      <left/>
      <right/>
      <top style="thin">
        <color rgb="FF1B2A4A"/>
      </top>
      <bottom style="thin">
        <color rgb="FF6B2D5B"/>
      </bottom>
      <diagonal/>
    </border>
    <border>
      <left/>
      <right/>
      <top style="medium">
        <color rgb="FF6B2D5B"/>
      </top>
      <bottom style="thin">
        <color rgb="FFE0E0E0"/>
      </bottom>
      <diagonal/>
    </border>
    <border>
      <left/>
      <right/>
      <top/>
      <bottom style="medium">
        <color rgb="FF2D5F2D"/>
      </bottom>
      <diagonal/>
    </border>
    <border>
      <left/>
      <right/>
      <top style="medium">
        <color rgb="FF2D5F2D"/>
      </top>
      <bottom style="double">
        <color rgb="FF2D5F2D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2" fillId="0" borderId="71"/>
    <xf numFmtId="164" fontId="2" fillId="0" borderId="71"/>
    <xf numFmtId="0" fontId="3" fillId="0" borderId="71"/>
    <xf numFmtId="0" fontId="11" fillId="0" borderId="71"/>
    <xf numFmtId="0" fontId="10" fillId="0" borderId="71"/>
    <xf numFmtId="43" fontId="11" fillId="0" borderId="71"/>
    <xf numFmtId="9" fontId="11" fillId="0" borderId="71"/>
    <xf numFmtId="9" fontId="2" fillId="0" borderId="71"/>
    <xf numFmtId="0" fontId="16" fillId="0" borderId="71"/>
    <xf numFmtId="0" fontId="36" fillId="0" borderId="71" applyAlignment="1">
      <alignment vertical="center"/>
    </xf>
  </cellStyleXfs>
  <cellXfs count="1256">
    <xf numFmtId="0" fontId="0" fillId="0" borderId="0" pivotButton="0" quotePrefix="0" xfId="0"/>
    <xf numFmtId="164" fontId="0" fillId="0" borderId="0" pivotButton="0" quotePrefix="0" xfId="1"/>
    <xf numFmtId="17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6" fillId="0" borderId="0" applyAlignment="1" pivotButton="0" quotePrefix="0" xfId="0">
      <alignment wrapText="1"/>
    </xf>
    <xf numFmtId="165" fontId="6" fillId="0" borderId="2" pivotButton="0" quotePrefix="0" xfId="0"/>
    <xf numFmtId="0" fontId="6" fillId="3" borderId="0" pivotButton="0" quotePrefix="0" xfId="0"/>
    <xf numFmtId="0" fontId="6" fillId="0" borderId="5" pivotButton="0" quotePrefix="0" xfId="0"/>
    <xf numFmtId="165" fontId="6" fillId="0" borderId="5" pivotButton="0" quotePrefix="0" xfId="0"/>
    <xf numFmtId="0" fontId="7" fillId="2" borderId="7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0" fontId="6" fillId="3" borderId="9" applyAlignment="1" pivotButton="0" quotePrefix="0" xfId="0">
      <alignment wrapText="1"/>
    </xf>
    <xf numFmtId="0" fontId="7" fillId="0" borderId="12" applyAlignment="1" pivotButton="0" quotePrefix="0" xfId="0">
      <alignment wrapText="1"/>
    </xf>
    <xf numFmtId="0" fontId="7" fillId="0" borderId="14" pivotButton="0" quotePrefix="0" xfId="0"/>
    <xf numFmtId="0" fontId="7" fillId="2" borderId="15" applyAlignment="1" pivotButton="0" quotePrefix="0" xfId="0">
      <alignment wrapText="1"/>
    </xf>
    <xf numFmtId="0" fontId="7" fillId="2" borderId="17" pivotButton="0" quotePrefix="0" xfId="0"/>
    <xf numFmtId="0" fontId="6" fillId="0" borderId="18" applyAlignment="1" pivotButton="0" quotePrefix="0" xfId="0">
      <alignment wrapText="1"/>
    </xf>
    <xf numFmtId="0" fontId="6" fillId="0" borderId="19" pivotButton="0" quotePrefix="0" xfId="0"/>
    <xf numFmtId="0" fontId="7" fillId="2" borderId="4" pivotButton="0" quotePrefix="0" xfId="0"/>
    <xf numFmtId="0" fontId="7" fillId="2" borderId="10" applyAlignment="1" pivotButton="0" quotePrefix="0" xfId="0">
      <alignment wrapText="1"/>
    </xf>
    <xf numFmtId="165" fontId="7" fillId="2" borderId="11" pivotButton="0" quotePrefix="0" xfId="0"/>
    <xf numFmtId="165" fontId="7" fillId="2" borderId="6" pivotButton="0" quotePrefix="0" xfId="0"/>
    <xf numFmtId="0" fontId="6" fillId="0" borderId="20" applyAlignment="1" pivotButton="0" quotePrefix="0" xfId="0">
      <alignment wrapText="1"/>
    </xf>
    <xf numFmtId="0" fontId="6" fillId="0" borderId="21" pivotButton="0" quotePrefix="0" xfId="0"/>
    <xf numFmtId="0" fontId="6" fillId="0" borderId="22" pivotButton="0" quotePrefix="0" xfId="0"/>
    <xf numFmtId="0" fontId="6" fillId="0" borderId="23" applyAlignment="1" pivotButton="0" quotePrefix="0" xfId="0">
      <alignment wrapText="1"/>
    </xf>
    <xf numFmtId="165" fontId="6" fillId="0" borderId="24" pivotButton="0" quotePrefix="0" xfId="0"/>
    <xf numFmtId="164" fontId="7" fillId="2" borderId="11" pivotButton="0" quotePrefix="0" xfId="0"/>
    <xf numFmtId="164" fontId="7" fillId="2" borderId="6" pivotButton="0" quotePrefix="0" xfId="0"/>
    <xf numFmtId="0" fontId="7" fillId="0" borderId="23" applyAlignment="1" pivotButton="0" quotePrefix="0" xfId="0">
      <alignment wrapText="1"/>
    </xf>
    <xf numFmtId="164" fontId="7" fillId="0" borderId="25" pivotButton="0" quotePrefix="0" xfId="0"/>
    <xf numFmtId="0" fontId="8" fillId="0" borderId="0" applyAlignment="1" pivotButton="0" quotePrefix="0" xfId="0">
      <alignment horizontal="center" wrapText="1"/>
    </xf>
    <xf numFmtId="164" fontId="6" fillId="0" borderId="19" pivotButton="0" quotePrefix="0" xfId="0"/>
    <xf numFmtId="0" fontId="6" fillId="4" borderId="0" pivotButton="0" quotePrefix="0" xfId="0"/>
    <xf numFmtId="166" fontId="9" fillId="0" borderId="0" applyAlignment="1" pivotButton="0" quotePrefix="0" xfId="5">
      <alignment horizontal="left" vertical="top"/>
    </xf>
    <xf numFmtId="0" fontId="7" fillId="0" borderId="1" pivotButton="0" quotePrefix="0" xfId="0"/>
    <xf numFmtId="165" fontId="6" fillId="0" borderId="27" pivotButton="0" quotePrefix="0" xfId="0"/>
    <xf numFmtId="0" fontId="7" fillId="2" borderId="28" pivotButton="0" quotePrefix="0" xfId="0"/>
    <xf numFmtId="164" fontId="7" fillId="0" borderId="29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0" fillId="0" borderId="0" pivotButton="0" quotePrefix="0" xfId="0"/>
    <xf numFmtId="164" fontId="13" fillId="0" borderId="0" pivotButton="0" quotePrefix="0" xfId="0"/>
    <xf numFmtId="9" fontId="0" fillId="0" borderId="0" pivotButton="0" quotePrefix="0" xfId="7"/>
    <xf numFmtId="0" fontId="15" fillId="2" borderId="8" pivotButton="0" quotePrefix="0" xfId="0"/>
    <xf numFmtId="165" fontId="15" fillId="2" borderId="11" pivotButton="0" quotePrefix="0" xfId="0"/>
    <xf numFmtId="0" fontId="14" fillId="0" borderId="21" pivotButton="0" quotePrefix="0" xfId="0"/>
    <xf numFmtId="164" fontId="14" fillId="3" borderId="2" pivotButton="0" quotePrefix="0" xfId="0"/>
    <xf numFmtId="164" fontId="15" fillId="2" borderId="11" pivotButton="0" quotePrefix="0" xfId="0"/>
    <xf numFmtId="164" fontId="15" fillId="0" borderId="24" pivotButton="0" quotePrefix="0" xfId="0"/>
    <xf numFmtId="164" fontId="6" fillId="0" borderId="0" pivotButton="0" quotePrefix="0" xfId="1"/>
    <xf numFmtId="0" fontId="7" fillId="2" borderId="33" applyAlignment="1" pivotButton="0" quotePrefix="0" xfId="0">
      <alignment wrapText="1"/>
    </xf>
    <xf numFmtId="0" fontId="6" fillId="0" borderId="34" applyAlignment="1" pivotButton="0" quotePrefix="0" xfId="0">
      <alignment wrapText="1"/>
    </xf>
    <xf numFmtId="0" fontId="6" fillId="3" borderId="31" applyAlignment="1" pivotButton="0" quotePrefix="0" xfId="0">
      <alignment wrapText="1"/>
    </xf>
    <xf numFmtId="0" fontId="7" fillId="0" borderId="35" applyAlignment="1" pivotButton="0" quotePrefix="0" xfId="0">
      <alignment wrapText="1"/>
    </xf>
    <xf numFmtId="164" fontId="14" fillId="3" borderId="31" applyAlignment="1" pivotButton="0" quotePrefix="0" xfId="1">
      <alignment wrapText="1"/>
    </xf>
    <xf numFmtId="0" fontId="7" fillId="3" borderId="30" applyAlignment="1" pivotButton="0" quotePrefix="0" xfId="0">
      <alignment wrapText="1"/>
    </xf>
    <xf numFmtId="0" fontId="7" fillId="3" borderId="13" pivotButton="0" quotePrefix="0" xfId="0"/>
    <xf numFmtId="165" fontId="14" fillId="3" borderId="2" pivotButton="0" quotePrefix="0" xfId="0"/>
    <xf numFmtId="0" fontId="6" fillId="3" borderId="32" applyAlignment="1" pivotButton="0" quotePrefix="0" xfId="0">
      <alignment wrapText="1"/>
    </xf>
    <xf numFmtId="165" fontId="14" fillId="3" borderId="3" pivotButton="0" quotePrefix="0" xfId="0"/>
    <xf numFmtId="0" fontId="14" fillId="3" borderId="2" pivotButton="0" quotePrefix="0" xfId="0"/>
    <xf numFmtId="165" fontId="14" fillId="3" borderId="24" pivotButton="0" quotePrefix="0" xfId="0"/>
    <xf numFmtId="0" fontId="4" fillId="0" borderId="0" applyAlignment="1" pivotButton="0" quotePrefix="0" xfId="0">
      <alignment horizontal="center" wrapText="1"/>
    </xf>
    <xf numFmtId="0" fontId="6" fillId="5" borderId="9" applyAlignment="1" pivotButton="0" quotePrefix="0" xfId="0">
      <alignment wrapText="1"/>
    </xf>
    <xf numFmtId="17" fontId="7" fillId="2" borderId="26" applyAlignment="1" pivotButton="0" quotePrefix="0" xfId="0">
      <alignment horizontal="left"/>
    </xf>
    <xf numFmtId="0" fontId="4" fillId="6" borderId="3" pivotButton="0" quotePrefix="0" xfId="0"/>
    <xf numFmtId="0" fontId="4" fillId="6" borderId="21" pivotButton="0" quotePrefix="0" xfId="0"/>
    <xf numFmtId="164" fontId="0" fillId="6" borderId="21" pivotButton="0" quotePrefix="0" xfId="1"/>
    <xf numFmtId="164" fontId="0" fillId="6" borderId="21" pivotButton="0" quotePrefix="0" xfId="0"/>
    <xf numFmtId="0" fontId="7" fillId="2" borderId="0" applyAlignment="1" pivotButton="0" quotePrefix="0" xfId="0">
      <alignment horizontal="center" vertical="center"/>
    </xf>
    <xf numFmtId="0" fontId="0" fillId="6" borderId="0" pivotButton="0" quotePrefix="0" xfId="0"/>
    <xf numFmtId="164" fontId="6" fillId="0" borderId="0" pivotButton="0" quotePrefix="0" xfId="0"/>
    <xf numFmtId="165" fontId="6" fillId="0" borderId="36" pivotButton="0" quotePrefix="0" xfId="0"/>
    <xf numFmtId="164" fontId="6" fillId="0" borderId="1" pivotButton="0" quotePrefix="0" xfId="0"/>
    <xf numFmtId="0" fontId="6" fillId="7" borderId="9" applyAlignment="1" pivotButton="0" quotePrefix="0" xfId="0">
      <alignment wrapText="1"/>
    </xf>
    <xf numFmtId="165" fontId="6" fillId="7" borderId="2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7" fillId="2" borderId="15" applyAlignment="1" pivotButton="0" quotePrefix="0" xfId="0">
      <alignment vertical="center" wrapText="1"/>
    </xf>
    <xf numFmtId="0" fontId="7" fillId="2" borderId="16" applyAlignment="1" pivotButton="0" quotePrefix="0" xfId="0">
      <alignment vertical="center"/>
    </xf>
    <xf numFmtId="17" fontId="7" fillId="2" borderId="26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0" borderId="12" applyAlignment="1" pivotButton="0" quotePrefix="0" xfId="0">
      <alignment vertical="center" wrapText="1"/>
    </xf>
    <xf numFmtId="0" fontId="7" fillId="3" borderId="30" applyAlignment="1" pivotButton="0" quotePrefix="0" xfId="0">
      <alignment vertical="center" wrapText="1"/>
    </xf>
    <xf numFmtId="0" fontId="7" fillId="3" borderId="13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165" fontId="14" fillId="3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0" fontId="6" fillId="0" borderId="18" applyAlignment="1" pivotButton="0" quotePrefix="0" xfId="0">
      <alignment vertical="center" wrapText="1"/>
    </xf>
    <xf numFmtId="0" fontId="6" fillId="3" borderId="32" applyAlignment="1" pivotButton="0" quotePrefix="0" xfId="0">
      <alignment vertical="center" wrapText="1"/>
    </xf>
    <xf numFmtId="165" fontId="14" fillId="3" borderId="3" applyAlignment="1" pivotButton="0" quotePrefix="0" xfId="0">
      <alignment vertical="center"/>
    </xf>
    <xf numFmtId="165" fontId="6" fillId="0" borderId="27" applyAlignment="1" pivotButton="0" quotePrefix="0" xfId="0">
      <alignment vertical="center"/>
    </xf>
    <xf numFmtId="0" fontId="7" fillId="2" borderId="7" applyAlignment="1" pivotButton="0" quotePrefix="0" xfId="0">
      <alignment vertical="center" wrapText="1"/>
    </xf>
    <xf numFmtId="0" fontId="7" fillId="2" borderId="33" applyAlignment="1" pivotButton="0" quotePrefix="0" xfId="0">
      <alignment vertical="center" wrapText="1"/>
    </xf>
    <xf numFmtId="0" fontId="15" fillId="2" borderId="8" applyAlignment="1" pivotButton="0" quotePrefix="0" xfId="0">
      <alignment vertical="center"/>
    </xf>
    <xf numFmtId="0" fontId="7" fillId="2" borderId="28" applyAlignment="1" pivotButton="0" quotePrefix="0" xfId="0">
      <alignment vertical="center"/>
    </xf>
    <xf numFmtId="165" fontId="6" fillId="0" borderId="36" applyAlignment="1" pivotButton="0" quotePrefix="0" xfId="0">
      <alignment vertical="center"/>
    </xf>
    <xf numFmtId="0" fontId="6" fillId="3" borderId="31" applyAlignment="1" pivotButton="0" quotePrefix="0" xfId="0">
      <alignment vertical="center" wrapText="1"/>
    </xf>
    <xf numFmtId="165" fontId="6" fillId="7" borderId="2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6" fillId="7" borderId="9" applyAlignment="1" pivotButton="0" quotePrefix="0" xfId="0">
      <alignment vertical="center" wrapText="1"/>
    </xf>
    <xf numFmtId="0" fontId="6" fillId="5" borderId="9" applyAlignment="1" pivotButton="0" quotePrefix="0" xfId="0">
      <alignment vertical="center" wrapText="1"/>
    </xf>
    <xf numFmtId="0" fontId="14" fillId="3" borderId="2" applyAlignment="1" pivotButton="0" quotePrefix="0" xfId="0">
      <alignment vertical="center"/>
    </xf>
    <xf numFmtId="0" fontId="7" fillId="2" borderId="10" applyAlignment="1" pivotButton="0" quotePrefix="0" xfId="0">
      <alignment vertical="center" wrapText="1"/>
    </xf>
    <xf numFmtId="165" fontId="15" fillId="2" borderId="11" applyAlignment="1" pivotButton="0" quotePrefix="0" xfId="0">
      <alignment vertical="center"/>
    </xf>
    <xf numFmtId="165" fontId="7" fillId="2" borderId="11" applyAlignment="1" pivotButton="0" quotePrefix="0" xfId="0">
      <alignment vertical="center"/>
    </xf>
    <xf numFmtId="0" fontId="6" fillId="0" borderId="20" applyAlignment="1" pivotButton="0" quotePrefix="0" xfId="0">
      <alignment vertical="center" wrapText="1"/>
    </xf>
    <xf numFmtId="0" fontId="6" fillId="0" borderId="34" applyAlignment="1" pivotButton="0" quotePrefix="0" xfId="0">
      <alignment vertical="center" wrapText="1"/>
    </xf>
    <xf numFmtId="0" fontId="14" fillId="0" borderId="21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164" fontId="14" fillId="3" borderId="31" applyAlignment="1" pivotButton="0" quotePrefix="0" xfId="1">
      <alignment vertical="center" wrapText="1"/>
    </xf>
    <xf numFmtId="164" fontId="14" fillId="3" borderId="2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15" fillId="2" borderId="11" applyAlignment="1" pivotButton="0" quotePrefix="0" xfId="0">
      <alignment vertical="center"/>
    </xf>
    <xf numFmtId="164" fontId="7" fillId="2" borderId="11" applyAlignment="1" pivotButton="0" quotePrefix="0" xfId="0">
      <alignment vertical="center"/>
    </xf>
    <xf numFmtId="0" fontId="7" fillId="0" borderId="23" applyAlignment="1" pivotButton="0" quotePrefix="0" xfId="0">
      <alignment vertical="center" wrapText="1"/>
    </xf>
    <xf numFmtId="0" fontId="7" fillId="0" borderId="35" applyAlignment="1" pivotButton="0" quotePrefix="0" xfId="0">
      <alignment vertical="center" wrapText="1"/>
    </xf>
    <xf numFmtId="164" fontId="15" fillId="0" borderId="24" applyAlignment="1" pivotButton="0" quotePrefix="0" xfId="0">
      <alignment vertical="center"/>
    </xf>
    <xf numFmtId="164" fontId="7" fillId="0" borderId="29" applyAlignment="1" pivotButton="0" quotePrefix="0" xfId="0">
      <alignment vertical="center"/>
    </xf>
    <xf numFmtId="0" fontId="6" fillId="0" borderId="23" applyAlignment="1" pivotButton="0" quotePrefix="0" xfId="0">
      <alignment vertical="center" wrapText="1"/>
    </xf>
    <xf numFmtId="165" fontId="14" fillId="3" borderId="24" applyAlignment="1" pivotButton="0" quotePrefix="0" xfId="0">
      <alignment vertical="center"/>
    </xf>
    <xf numFmtId="165" fontId="6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6" fontId="9" fillId="0" borderId="0" applyAlignment="1" pivotButton="0" quotePrefix="0" xfId="5">
      <alignment horizontal="left" vertical="center"/>
    </xf>
    <xf numFmtId="0" fontId="8" fillId="0" borderId="0" applyAlignment="1" pivotButton="0" quotePrefix="0" xfId="0">
      <alignment horizontal="left" vertical="center" indent="1"/>
    </xf>
    <xf numFmtId="0" fontId="6" fillId="0" borderId="9" applyAlignment="1" pivotButton="0" quotePrefix="0" xfId="0">
      <alignment horizontal="left" vertical="center"/>
    </xf>
    <xf numFmtId="0" fontId="6" fillId="0" borderId="9" applyAlignment="1" pivotButton="0" quotePrefix="0" xfId="0">
      <alignment vertical="center"/>
    </xf>
    <xf numFmtId="0" fontId="6" fillId="3" borderId="9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166" fontId="20" fillId="0" borderId="0" applyAlignment="1" pivotButton="0" quotePrefix="0" xfId="5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2" fillId="8" borderId="0" applyAlignment="1" pivotButton="0" quotePrefix="0" xfId="0">
      <alignment horizontal="left" vertical="center" indent="1"/>
    </xf>
    <xf numFmtId="0" fontId="19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17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21" fillId="8" borderId="0" applyAlignment="1" pivotButton="0" quotePrefix="0" xfId="0">
      <alignment horizontal="center" vertical="center"/>
    </xf>
    <xf numFmtId="0" fontId="26" fillId="8" borderId="0" applyAlignment="1" pivotButton="0" quotePrefix="0" xfId="0">
      <alignment vertical="center"/>
    </xf>
    <xf numFmtId="166" fontId="26" fillId="8" borderId="15" applyAlignment="1" pivotButton="0" quotePrefix="0" xfId="0">
      <alignment vertical="center"/>
    </xf>
    <xf numFmtId="166" fontId="26" fillId="8" borderId="16" applyAlignment="1" pivotButton="0" quotePrefix="0" xfId="0">
      <alignment vertical="center"/>
    </xf>
    <xf numFmtId="166" fontId="26" fillId="8" borderId="26" applyAlignment="1" pivotButton="0" quotePrefix="0" xfId="0">
      <alignment vertical="center"/>
    </xf>
    <xf numFmtId="166" fontId="26" fillId="8" borderId="37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/>
    </xf>
    <xf numFmtId="166" fontId="19" fillId="8" borderId="12" applyAlignment="1" pivotButton="0" quotePrefix="0" xfId="0">
      <alignment vertical="center"/>
    </xf>
    <xf numFmtId="166" fontId="19" fillId="8" borderId="13" applyAlignment="1" pivotButton="0" quotePrefix="0" xfId="0">
      <alignment vertical="center"/>
    </xf>
    <xf numFmtId="166" fontId="19" fillId="8" borderId="38" applyAlignment="1" pivotButton="0" quotePrefix="0" xfId="0">
      <alignment vertical="center"/>
    </xf>
    <xf numFmtId="166" fontId="26" fillId="8" borderId="14" applyAlignment="1" pivotButton="0" quotePrefix="0" xfId="0">
      <alignment vertical="center"/>
    </xf>
    <xf numFmtId="166" fontId="19" fillId="8" borderId="0" applyAlignment="1" pivotButton="0" quotePrefix="0" xfId="0">
      <alignment vertical="center"/>
    </xf>
    <xf numFmtId="166" fontId="19" fillId="8" borderId="9" applyAlignment="1" pivotButton="0" quotePrefix="0" xfId="0">
      <alignment vertical="center"/>
    </xf>
    <xf numFmtId="166" fontId="19" fillId="8" borderId="2" applyAlignment="1" pivotButton="0" quotePrefix="0" xfId="0">
      <alignment vertical="center"/>
    </xf>
    <xf numFmtId="166" fontId="19" fillId="8" borderId="39" applyAlignment="1" pivotButton="0" quotePrefix="0" xfId="0">
      <alignment vertical="center"/>
    </xf>
    <xf numFmtId="166" fontId="26" fillId="8" borderId="5" applyAlignment="1" pivotButton="0" quotePrefix="0" xfId="0">
      <alignment vertical="center"/>
    </xf>
    <xf numFmtId="0" fontId="25" fillId="8" borderId="0" applyAlignment="1" pivotButton="0" quotePrefix="0" xfId="0">
      <alignment horizontal="center" vertical="center"/>
    </xf>
    <xf numFmtId="166" fontId="19" fillId="8" borderId="10" applyAlignment="1" pivotButton="0" quotePrefix="0" xfId="0">
      <alignment vertical="center"/>
    </xf>
    <xf numFmtId="166" fontId="19" fillId="8" borderId="11" applyAlignment="1" pivotButton="0" quotePrefix="0" xfId="0">
      <alignment vertical="center"/>
    </xf>
    <xf numFmtId="166" fontId="19" fillId="8" borderId="40" applyAlignment="1" pivotButton="0" quotePrefix="0" xfId="0">
      <alignment vertical="center"/>
    </xf>
    <xf numFmtId="166" fontId="26" fillId="8" borderId="6" applyAlignment="1" pivotButton="0" quotePrefix="0" xfId="0">
      <alignment vertical="center"/>
    </xf>
    <xf numFmtId="0" fontId="19" fillId="8" borderId="41" applyAlignment="1" pivotButton="0" quotePrefix="0" xfId="0">
      <alignment horizontal="left" vertical="center" indent="1"/>
    </xf>
    <xf numFmtId="0" fontId="19" fillId="8" borderId="42" applyAlignment="1" pivotButton="0" quotePrefix="0" xfId="0">
      <alignment vertical="center"/>
    </xf>
    <xf numFmtId="0" fontId="19" fillId="8" borderId="43" applyAlignment="1" pivotButton="0" quotePrefix="0" xfId="0">
      <alignment horizontal="left" vertical="center" indent="1"/>
    </xf>
    <xf numFmtId="0" fontId="19" fillId="8" borderId="44" applyAlignment="1" pivotButton="0" quotePrefix="0" xfId="0">
      <alignment vertical="center"/>
    </xf>
    <xf numFmtId="0" fontId="19" fillId="8" borderId="45" applyAlignment="1" pivotButton="0" quotePrefix="0" xfId="0">
      <alignment horizontal="left" vertical="center" indent="1"/>
    </xf>
    <xf numFmtId="0" fontId="19" fillId="8" borderId="46" applyAlignment="1" pivotButton="0" quotePrefix="0" xfId="0">
      <alignment vertical="center"/>
    </xf>
    <xf numFmtId="0" fontId="19" fillId="8" borderId="47" applyAlignment="1" pivotButton="0" quotePrefix="0" xfId="0">
      <alignment horizontal="left" vertical="center" indent="1"/>
    </xf>
    <xf numFmtId="0" fontId="19" fillId="8" borderId="48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8" borderId="0" applyAlignment="1" pivotButton="0" quotePrefix="0" xfId="0">
      <alignment vertical="center"/>
    </xf>
    <xf numFmtId="0" fontId="29" fillId="8" borderId="0" applyAlignment="1" pivotButton="0" quotePrefix="0" xfId="0">
      <alignment vertical="center"/>
    </xf>
    <xf numFmtId="0" fontId="19" fillId="8" borderId="51" applyAlignment="1" pivotButton="0" quotePrefix="0" xfId="0">
      <alignment horizontal="left" vertical="center" indent="1"/>
    </xf>
    <xf numFmtId="0" fontId="19" fillId="8" borderId="52" applyAlignment="1" pivotButton="0" quotePrefix="0" xfId="0">
      <alignment vertical="center"/>
    </xf>
    <xf numFmtId="0" fontId="26" fillId="6" borderId="49" applyAlignment="1" pivotButton="0" quotePrefix="0" xfId="0">
      <alignment horizontal="left" vertical="center" indent="1"/>
    </xf>
    <xf numFmtId="0" fontId="26" fillId="6" borderId="5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/>
    </xf>
    <xf numFmtId="166" fontId="31" fillId="8" borderId="15" applyAlignment="1" pivotButton="0" quotePrefix="0" xfId="0">
      <alignment vertical="center"/>
    </xf>
    <xf numFmtId="166" fontId="31" fillId="8" borderId="16" applyAlignment="1" pivotButton="0" quotePrefix="0" xfId="0">
      <alignment vertical="center"/>
    </xf>
    <xf numFmtId="166" fontId="31" fillId="8" borderId="26" applyAlignment="1" pivotButton="0" quotePrefix="0" xfId="0">
      <alignment vertical="center"/>
    </xf>
    <xf numFmtId="166" fontId="31" fillId="8" borderId="37" applyAlignment="1" pivotButton="0" quotePrefix="0" xfId="0">
      <alignment vertical="center"/>
    </xf>
    <xf numFmtId="166" fontId="19" fillId="8" borderId="18" applyAlignment="1" pivotButton="0" quotePrefix="0" xfId="0">
      <alignment vertical="center"/>
    </xf>
    <xf numFmtId="166" fontId="19" fillId="8" borderId="3" applyAlignment="1" pivotButton="0" quotePrefix="0" xfId="0">
      <alignment vertical="center"/>
    </xf>
    <xf numFmtId="0" fontId="32" fillId="8" borderId="0" applyAlignment="1" pivotButton="0" quotePrefix="0" xfId="0">
      <alignment horizontal="left" vertical="center" indent="1"/>
    </xf>
    <xf numFmtId="0" fontId="33" fillId="8" borderId="0" applyAlignment="1" pivotButton="0" quotePrefix="0" xfId="0">
      <alignment horizontal="left" vertical="center" indent="1"/>
    </xf>
    <xf numFmtId="166" fontId="35" fillId="0" borderId="0" applyAlignment="1" pivotButton="0" quotePrefix="0" xfId="1">
      <alignment wrapText="1"/>
    </xf>
    <xf numFmtId="166" fontId="48" fillId="0" borderId="41" applyAlignment="1" pivotButton="0" quotePrefix="0" xfId="1">
      <alignment wrapText="1"/>
    </xf>
    <xf numFmtId="166" fontId="54" fillId="12" borderId="49" applyAlignment="1" pivotButton="0" quotePrefix="0" xfId="1">
      <alignment horizontal="center" vertical="center" wrapText="1"/>
    </xf>
    <xf numFmtId="166" fontId="56" fillId="12" borderId="53" applyAlignment="1" pivotButton="0" quotePrefix="0" xfId="1">
      <alignment horizontal="center" vertical="center" wrapText="1"/>
    </xf>
    <xf numFmtId="166" fontId="58" fillId="0" borderId="47" applyAlignment="1" pivotButton="0" quotePrefix="0" xfId="1">
      <alignment wrapText="1"/>
    </xf>
    <xf numFmtId="166" fontId="50" fillId="0" borderId="0" applyAlignment="1" pivotButton="0" quotePrefix="0" xfId="1">
      <alignment wrapText="1"/>
    </xf>
    <xf numFmtId="166" fontId="50" fillId="0" borderId="42" applyAlignment="1" pivotButton="0" quotePrefix="0" xfId="1">
      <alignment wrapText="1"/>
    </xf>
    <xf numFmtId="166" fontId="58" fillId="0" borderId="41" applyAlignment="1" pivotButton="0" quotePrefix="0" xfId="1">
      <alignment wrapText="1"/>
    </xf>
    <xf numFmtId="166" fontId="50" fillId="0" borderId="53" applyAlignment="1" pivotButton="0" quotePrefix="0" xfId="1">
      <alignment wrapText="1"/>
    </xf>
    <xf numFmtId="166" fontId="48" fillId="0" borderId="0" applyAlignment="1" pivotButton="0" quotePrefix="0" xfId="1">
      <alignment wrapText="1"/>
    </xf>
    <xf numFmtId="166" fontId="60" fillId="0" borderId="41" applyAlignment="1" pivotButton="0" quotePrefix="0" xfId="1">
      <alignment wrapText="1"/>
    </xf>
    <xf numFmtId="166" fontId="61" fillId="0" borderId="0" applyAlignment="1" pivotButton="0" quotePrefix="0" xfId="1">
      <alignment wrapText="1"/>
    </xf>
    <xf numFmtId="166" fontId="45" fillId="13" borderId="45" applyAlignment="1" pivotButton="0" quotePrefix="0" xfId="1">
      <alignment wrapText="1"/>
    </xf>
    <xf numFmtId="166" fontId="51" fillId="13" borderId="52" applyAlignment="1" pivotButton="0" quotePrefix="0" xfId="1">
      <alignment wrapText="1"/>
    </xf>
    <xf numFmtId="166" fontId="51" fillId="13" borderId="29" applyAlignment="1" pivotButton="0" quotePrefix="0" xfId="1">
      <alignment wrapText="1"/>
    </xf>
    <xf numFmtId="166" fontId="51" fillId="13" borderId="46" applyAlignment="1" pivotButton="0" quotePrefix="0" xfId="1">
      <alignment wrapText="1"/>
    </xf>
    <xf numFmtId="166" fontId="59" fillId="0" borderId="41" applyAlignment="1" pivotButton="0" quotePrefix="0" xfId="1">
      <alignment wrapText="1"/>
    </xf>
    <xf numFmtId="166" fontId="50" fillId="0" borderId="58" applyAlignment="1" pivotButton="0" quotePrefix="0" xfId="1">
      <alignment wrapText="1"/>
    </xf>
    <xf numFmtId="166" fontId="50" fillId="0" borderId="57" applyAlignment="1" pivotButton="0" quotePrefix="0" xfId="1">
      <alignment wrapText="1"/>
    </xf>
    <xf numFmtId="166" fontId="50" fillId="0" borderId="56" applyAlignment="1" pivotButton="0" quotePrefix="0" xfId="1">
      <alignment wrapText="1"/>
    </xf>
    <xf numFmtId="166" fontId="59" fillId="0" borderId="47" applyAlignment="1" pivotButton="0" quotePrefix="0" xfId="1">
      <alignment wrapText="1"/>
    </xf>
    <xf numFmtId="166" fontId="59" fillId="0" borderId="43" applyAlignment="1" pivotButton="0" quotePrefix="0" xfId="1">
      <alignment wrapText="1"/>
    </xf>
    <xf numFmtId="166" fontId="62" fillId="0" borderId="0" applyAlignment="1" pivotButton="0" quotePrefix="0" xfId="1">
      <alignment wrapText="1"/>
    </xf>
    <xf numFmtId="166" fontId="62" fillId="0" borderId="44" applyAlignment="1" pivotButton="0" quotePrefix="0" xfId="1">
      <alignment wrapText="1"/>
    </xf>
    <xf numFmtId="166" fontId="60" fillId="0" borderId="39" applyAlignment="1" pivotButton="0" quotePrefix="0" xfId="1">
      <alignment wrapText="1"/>
    </xf>
    <xf numFmtId="166" fontId="61" fillId="13" borderId="27" applyAlignment="1" pivotButton="0" quotePrefix="0" xfId="1">
      <alignment wrapText="1"/>
    </xf>
    <xf numFmtId="166" fontId="63" fillId="13" borderId="0" applyAlignment="1" pivotButton="0" quotePrefix="0" xfId="1">
      <alignment wrapText="1"/>
    </xf>
    <xf numFmtId="166" fontId="62" fillId="13" borderId="0" applyAlignment="1" pivotButton="0" quotePrefix="0" xfId="1">
      <alignment wrapText="1"/>
    </xf>
    <xf numFmtId="166" fontId="45" fillId="13" borderId="51" applyAlignment="1" pivotButton="0" quotePrefix="0" xfId="1">
      <alignment wrapText="1"/>
    </xf>
    <xf numFmtId="166" fontId="51" fillId="0" borderId="29" applyAlignment="1" pivotButton="0" quotePrefix="0" xfId="1">
      <alignment wrapText="1"/>
    </xf>
    <xf numFmtId="166" fontId="50" fillId="0" borderId="52" applyAlignment="1" pivotButton="0" quotePrefix="0" xfId="1">
      <alignment wrapText="1"/>
    </xf>
    <xf numFmtId="166" fontId="51" fillId="0" borderId="50" applyAlignment="1" pivotButton="0" quotePrefix="0" xfId="1">
      <alignment wrapText="1"/>
    </xf>
    <xf numFmtId="166" fontId="45" fillId="0" borderId="0" applyAlignment="1" pivotButton="0" quotePrefix="0" xfId="1">
      <alignment wrapText="1"/>
    </xf>
    <xf numFmtId="166" fontId="51" fillId="0" borderId="0" applyAlignment="1" pivotButton="0" quotePrefix="0" xfId="1">
      <alignment wrapText="1"/>
    </xf>
    <xf numFmtId="166" fontId="54" fillId="12" borderId="37" applyAlignment="1" pivotButton="0" quotePrefix="0" xfId="1">
      <alignment horizontal="center" vertical="center" wrapText="1"/>
    </xf>
    <xf numFmtId="166" fontId="56" fillId="12" borderId="49" applyAlignment="1" pivotButton="0" quotePrefix="0" xfId="1">
      <alignment horizontal="center" vertical="center" wrapText="1"/>
    </xf>
    <xf numFmtId="166" fontId="56" fillId="12" borderId="50" applyAlignment="1" pivotButton="0" quotePrefix="0" xfId="1">
      <alignment horizontal="center" vertical="center" wrapText="1"/>
    </xf>
    <xf numFmtId="166" fontId="61" fillId="0" borderId="57" applyAlignment="1" pivotButton="0" quotePrefix="0" xfId="1">
      <alignment wrapText="1"/>
    </xf>
    <xf numFmtId="166" fontId="61" fillId="0" borderId="56" applyAlignment="1" pivotButton="0" quotePrefix="0" xfId="1">
      <alignment wrapText="1"/>
    </xf>
    <xf numFmtId="166" fontId="68" fillId="13" borderId="49" applyAlignment="1" pivotButton="0" quotePrefix="0" xfId="1">
      <alignment wrapText="1"/>
    </xf>
    <xf numFmtId="166" fontId="68" fillId="13" borderId="50" applyAlignment="1" pivotButton="0" quotePrefix="0" xfId="1">
      <alignment wrapText="1"/>
    </xf>
    <xf numFmtId="166" fontId="70" fillId="0" borderId="0" applyAlignment="1" pivotButton="0" quotePrefix="0" xfId="1">
      <alignment wrapText="1"/>
    </xf>
    <xf numFmtId="166" fontId="61" fillId="0" borderId="44" applyAlignment="1" pivotButton="0" quotePrefix="0" xfId="1">
      <alignment wrapText="1"/>
    </xf>
    <xf numFmtId="166" fontId="73" fillId="0" borderId="51" applyAlignment="1" pivotButton="0" quotePrefix="0" xfId="1">
      <alignment wrapText="1"/>
    </xf>
    <xf numFmtId="166" fontId="73" fillId="0" borderId="29" applyAlignment="1" pivotButton="0" quotePrefix="0" xfId="1">
      <alignment wrapText="1"/>
    </xf>
    <xf numFmtId="166" fontId="73" fillId="0" borderId="49" applyAlignment="1" pivotButton="0" quotePrefix="0" xfId="1">
      <alignment wrapText="1"/>
    </xf>
    <xf numFmtId="166" fontId="70" fillId="0" borderId="44" applyAlignment="1" pivotButton="0" quotePrefix="0" xfId="1">
      <alignment wrapText="1"/>
    </xf>
    <xf numFmtId="166" fontId="50" fillId="0" borderId="29" applyAlignment="1" pivotButton="0" quotePrefix="0" xfId="1">
      <alignment wrapText="1"/>
    </xf>
    <xf numFmtId="166" fontId="63" fillId="0" borderId="49" applyAlignment="1" pivotButton="0" quotePrefix="0" xfId="1">
      <alignment wrapText="1"/>
    </xf>
    <xf numFmtId="166" fontId="77" fillId="0" borderId="49" applyAlignment="1" pivotButton="0" quotePrefix="0" xfId="1">
      <alignment wrapText="1"/>
    </xf>
    <xf numFmtId="166" fontId="77" fillId="0" borderId="37" applyAlignment="1" pivotButton="0" quotePrefix="0" xfId="1">
      <alignment wrapText="1"/>
    </xf>
    <xf numFmtId="166" fontId="17" fillId="0" borderId="53" applyAlignment="1" pivotButton="0" quotePrefix="0" xfId="1">
      <alignment wrapText="1"/>
    </xf>
    <xf numFmtId="165" fontId="14" fillId="15" borderId="2" applyAlignment="1" pivotButton="0" quotePrefix="0" xfId="0">
      <alignment vertical="center"/>
    </xf>
    <xf numFmtId="165" fontId="14" fillId="16" borderId="2" applyAlignment="1" pivotButton="0" quotePrefix="0" xfId="0">
      <alignment vertical="center"/>
    </xf>
    <xf numFmtId="165" fontId="6" fillId="0" borderId="39" applyAlignment="1" pivotButton="0" quotePrefix="0" xfId="0">
      <alignment vertical="center"/>
    </xf>
    <xf numFmtId="165" fontId="6" fillId="7" borderId="39" applyAlignment="1" pivotButton="0" quotePrefix="0" xfId="0">
      <alignment vertical="center"/>
    </xf>
    <xf numFmtId="165" fontId="14" fillId="3" borderId="39" applyAlignment="1" pivotButton="0" quotePrefix="0" xfId="0">
      <alignment vertical="center"/>
    </xf>
    <xf numFmtId="165" fontId="7" fillId="2" borderId="40" applyAlignment="1" pivotButton="0" quotePrefix="0" xfId="0">
      <alignment vertical="center"/>
    </xf>
    <xf numFmtId="164" fontId="7" fillId="2" borderId="40" applyAlignment="1" pivotButton="0" quotePrefix="0" xfId="0">
      <alignment vertical="center"/>
    </xf>
    <xf numFmtId="165" fontId="6" fillId="0" borderId="59" applyAlignment="1" pivotButton="0" quotePrefix="0" xfId="0">
      <alignment vertical="center"/>
    </xf>
    <xf numFmtId="0" fontId="7" fillId="2" borderId="50" applyAlignment="1" pivotButton="0" quotePrefix="0" xfId="0">
      <alignment vertical="center"/>
    </xf>
    <xf numFmtId="0" fontId="7" fillId="0" borderId="48" applyAlignment="1" pivotButton="0" quotePrefix="0" xfId="0">
      <alignment vertical="center"/>
    </xf>
    <xf numFmtId="0" fontId="6" fillId="0" borderId="42" applyAlignment="1" pivotButton="0" quotePrefix="0" xfId="0">
      <alignment vertical="center"/>
    </xf>
    <xf numFmtId="0" fontId="6" fillId="0" borderId="60" applyAlignment="1" pivotButton="0" quotePrefix="0" xfId="0">
      <alignment vertical="center"/>
    </xf>
    <xf numFmtId="0" fontId="7" fillId="2" borderId="61" applyAlignment="1" pivotButton="0" quotePrefix="0" xfId="0">
      <alignment vertical="center"/>
    </xf>
    <xf numFmtId="165" fontId="6" fillId="0" borderId="42" applyAlignment="1" pivotButton="0" quotePrefix="0" xfId="0">
      <alignment vertical="center"/>
    </xf>
    <xf numFmtId="165" fontId="7" fillId="2" borderId="46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164" fontId="6" fillId="0" borderId="60" applyAlignment="1" pivotButton="0" quotePrefix="0" xfId="0">
      <alignment vertical="center"/>
    </xf>
    <xf numFmtId="164" fontId="7" fillId="2" borderId="46" applyAlignment="1" pivotButton="0" quotePrefix="0" xfId="0">
      <alignment vertical="center"/>
    </xf>
    <xf numFmtId="164" fontId="7" fillId="0" borderId="52" applyAlignment="1" pivotButton="0" quotePrefix="0" xfId="0">
      <alignment vertical="center"/>
    </xf>
    <xf numFmtId="165" fontId="6" fillId="0" borderId="35" applyAlignment="1" pivotButton="0" quotePrefix="0" xfId="0">
      <alignment vertical="center"/>
    </xf>
    <xf numFmtId="17" fontId="7" fillId="17" borderId="58" applyAlignment="1" pivotButton="0" quotePrefix="0" xfId="0">
      <alignment horizontal="left" vertical="center" wrapText="1"/>
    </xf>
    <xf numFmtId="17" fontId="7" fillId="17" borderId="26" applyAlignment="1" pivotButton="0" quotePrefix="0" xfId="0">
      <alignment horizontal="left" vertical="center" wrapText="1"/>
    </xf>
    <xf numFmtId="17" fontId="7" fillId="17" borderId="17" applyAlignment="1" pivotButton="0" quotePrefix="0" xfId="0">
      <alignment horizontal="left" vertical="center" wrapText="1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7" fillId="17" borderId="48" applyAlignment="1" pivotButton="0" quotePrefix="0" xfId="0">
      <alignment vertical="center"/>
    </xf>
    <xf numFmtId="165" fontId="6" fillId="17" borderId="2" applyAlignment="1" pivotButton="0" quotePrefix="0" xfId="0">
      <alignment vertical="center"/>
    </xf>
    <xf numFmtId="165" fontId="6" fillId="17" borderId="36" applyAlignment="1" pivotButton="0" quotePrefix="0" xfId="0">
      <alignment vertical="center"/>
    </xf>
    <xf numFmtId="165" fontId="6" fillId="17" borderId="42" applyAlignment="1" pivotButton="0" quotePrefix="0" xfId="0">
      <alignment vertical="center"/>
    </xf>
    <xf numFmtId="165" fontId="6" fillId="17" borderId="11" applyAlignment="1" pivotButton="0" quotePrefix="0" xfId="0">
      <alignment vertical="center"/>
    </xf>
    <xf numFmtId="165" fontId="6" fillId="17" borderId="27" applyAlignment="1" pivotButton="0" quotePrefix="0" xfId="0">
      <alignment vertical="center"/>
    </xf>
    <xf numFmtId="165" fontId="6" fillId="17" borderId="60" applyAlignment="1" pivotButton="0" quotePrefix="0" xfId="0">
      <alignment vertical="center"/>
    </xf>
    <xf numFmtId="0" fontId="7" fillId="17" borderId="13" applyAlignment="1" pivotButton="0" quotePrefix="0" xfId="0">
      <alignment vertical="center"/>
    </xf>
    <xf numFmtId="0" fontId="7" fillId="17" borderId="28" applyAlignment="1" pivotButton="0" quotePrefix="0" xfId="0">
      <alignment vertical="center"/>
    </xf>
    <xf numFmtId="0" fontId="7" fillId="17" borderId="61" applyAlignment="1" pivotButton="0" quotePrefix="0" xfId="0">
      <alignment vertical="center"/>
    </xf>
    <xf numFmtId="165" fontId="7" fillId="17" borderId="11" applyAlignment="1" pivotButton="0" quotePrefix="0" xfId="0">
      <alignment vertical="center"/>
    </xf>
    <xf numFmtId="165" fontId="7" fillId="17" borderId="63" applyAlignment="1" pivotButton="0" quotePrefix="0" xfId="0">
      <alignment vertical="center"/>
    </xf>
    <xf numFmtId="165" fontId="7" fillId="17" borderId="46" applyAlignment="1" pivotButton="0" quotePrefix="0" xfId="0">
      <alignment vertical="center"/>
    </xf>
    <xf numFmtId="0" fontId="6" fillId="17" borderId="13" applyAlignment="1" pivotButton="0" quotePrefix="0" xfId="0">
      <alignment vertical="center"/>
    </xf>
    <xf numFmtId="0" fontId="6" fillId="17" borderId="0" applyAlignment="1" pivotButton="0" quotePrefix="0" xfId="0">
      <alignment vertical="center"/>
    </xf>
    <xf numFmtId="0" fontId="6" fillId="17" borderId="44" applyAlignment="1" pivotButton="0" quotePrefix="0" xfId="0">
      <alignment vertical="center"/>
    </xf>
    <xf numFmtId="165" fontId="14" fillId="17" borderId="60" applyAlignment="1" pivotButton="0" quotePrefix="0" xfId="0">
      <alignment vertical="center"/>
    </xf>
    <xf numFmtId="164" fontId="6" fillId="17" borderId="2" applyAlignment="1" pivotButton="0" quotePrefix="0" xfId="0">
      <alignment vertical="center"/>
    </xf>
    <xf numFmtId="164" fontId="6" fillId="17" borderId="44" applyAlignment="1" pivotButton="0" quotePrefix="0" xfId="0">
      <alignment vertical="center"/>
    </xf>
    <xf numFmtId="164" fontId="7" fillId="17" borderId="2" applyAlignment="1" pivotButton="0" quotePrefix="0" xfId="0">
      <alignment vertical="center"/>
    </xf>
    <xf numFmtId="164" fontId="7" fillId="17" borderId="46" applyAlignment="1" pivotButton="0" quotePrefix="0" xfId="0">
      <alignment vertical="center"/>
    </xf>
    <xf numFmtId="164" fontId="7" fillId="17" borderId="29" applyAlignment="1" pivotButton="0" quotePrefix="0" xfId="0">
      <alignment vertical="center"/>
    </xf>
    <xf numFmtId="164" fontId="7" fillId="17" borderId="52" applyAlignment="1" pivotButton="0" quotePrefix="0" xfId="0">
      <alignment vertical="center"/>
    </xf>
    <xf numFmtId="165" fontId="6" fillId="17" borderId="62" applyAlignment="1" pivotButton="0" quotePrefix="0" xfId="0">
      <alignment vertical="center"/>
    </xf>
    <xf numFmtId="0" fontId="6" fillId="16" borderId="0" applyAlignment="1" pivotButton="0" quotePrefix="0" xfId="0">
      <alignment vertical="center"/>
    </xf>
    <xf numFmtId="166" fontId="50" fillId="0" borderId="2" applyAlignment="1" pivotButton="0" quotePrefix="0" xfId="1">
      <alignment wrapText="1"/>
    </xf>
    <xf numFmtId="166" fontId="62" fillId="0" borderId="2" applyAlignment="1" pivotButton="0" quotePrefix="0" xfId="1">
      <alignment wrapText="1"/>
    </xf>
    <xf numFmtId="0" fontId="12" fillId="0" borderId="0" applyAlignment="1" pivotButton="0" quotePrefix="0" xfId="0">
      <alignment horizontal="center"/>
    </xf>
    <xf numFmtId="166" fontId="56" fillId="12" borderId="2" applyAlignment="1" pivotButton="0" quotePrefix="0" xfId="1">
      <alignment horizontal="center" vertical="center" wrapText="1"/>
    </xf>
    <xf numFmtId="166" fontId="17" fillId="0" borderId="2" applyAlignment="1" pivotButton="0" quotePrefix="0" xfId="1">
      <alignment wrapText="1"/>
    </xf>
    <xf numFmtId="166" fontId="63" fillId="13" borderId="2" applyAlignment="1" pivotButton="0" quotePrefix="0" xfId="1">
      <alignment wrapText="1"/>
    </xf>
    <xf numFmtId="166" fontId="61" fillId="0" borderId="2" applyAlignment="1" pivotButton="0" quotePrefix="0" xfId="1">
      <alignment wrapText="1"/>
    </xf>
    <xf numFmtId="166" fontId="51" fillId="0" borderId="2" applyAlignment="1" pivotButton="0" quotePrefix="0" xfId="1">
      <alignment wrapText="1"/>
    </xf>
    <xf numFmtId="166" fontId="61" fillId="14" borderId="2" applyAlignment="1" pivotButton="0" quotePrefix="0" xfId="1">
      <alignment wrapText="1"/>
    </xf>
    <xf numFmtId="166" fontId="68" fillId="13" borderId="2" applyAlignment="1" pivotButton="0" quotePrefix="0" xfId="1">
      <alignment wrapText="1"/>
    </xf>
    <xf numFmtId="166" fontId="70" fillId="0" borderId="2" applyAlignment="1" pivotButton="0" quotePrefix="0" xfId="1">
      <alignment wrapText="1"/>
    </xf>
    <xf numFmtId="166" fontId="73" fillId="0" borderId="2" applyAlignment="1" pivotButton="0" quotePrefix="0" xfId="1">
      <alignment wrapText="1"/>
    </xf>
    <xf numFmtId="166" fontId="50" fillId="0" borderId="9" applyAlignment="1" pivotButton="0" quotePrefix="0" xfId="1">
      <alignment wrapText="1"/>
    </xf>
    <xf numFmtId="166" fontId="62" fillId="0" borderId="9" applyAlignment="1" pivotButton="0" quotePrefix="0" xfId="1">
      <alignment wrapText="1"/>
    </xf>
    <xf numFmtId="166" fontId="35" fillId="0" borderId="9" pivotButton="0" quotePrefix="0" xfId="1"/>
    <xf numFmtId="166" fontId="58" fillId="20" borderId="47" applyAlignment="1" pivotButton="0" quotePrefix="0" xfId="1">
      <alignment wrapText="1"/>
    </xf>
    <xf numFmtId="166" fontId="17" fillId="0" borderId="13" applyAlignment="1" pivotButton="0" quotePrefix="0" xfId="1">
      <alignment wrapText="1"/>
    </xf>
    <xf numFmtId="166" fontId="50" fillId="0" borderId="48" applyAlignment="1" pivotButton="0" quotePrefix="0" xfId="1">
      <alignment wrapText="1"/>
    </xf>
    <xf numFmtId="166" fontId="17" fillId="0" borderId="16" applyAlignment="1" pivotButton="0" quotePrefix="0" xfId="1">
      <alignment wrapText="1"/>
    </xf>
    <xf numFmtId="166" fontId="50" fillId="0" borderId="50" applyAlignment="1" pivotButton="0" quotePrefix="0" xfId="1">
      <alignment wrapText="1"/>
    </xf>
    <xf numFmtId="166" fontId="35" fillId="0" borderId="53" pivotButton="0" quotePrefix="0" xfId="1"/>
    <xf numFmtId="166" fontId="17" fillId="0" borderId="29" applyAlignment="1" pivotButton="0" quotePrefix="0" xfId="1">
      <alignment wrapText="1"/>
    </xf>
    <xf numFmtId="166" fontId="58" fillId="20" borderId="49" applyAlignment="1" pivotButton="0" quotePrefix="0" xfId="1">
      <alignment wrapText="1"/>
    </xf>
    <xf numFmtId="0" fontId="37" fillId="9" borderId="65" applyAlignment="1" pivotButton="0" quotePrefix="0" xfId="9">
      <alignment horizontal="left" vertical="center" wrapText="1"/>
    </xf>
    <xf numFmtId="9" fontId="40" fillId="9" borderId="65" applyAlignment="1" pivotButton="0" quotePrefix="0" xfId="9">
      <alignment horizontal="center" vertical="center" wrapText="1"/>
    </xf>
    <xf numFmtId="166" fontId="48" fillId="0" borderId="49" applyAlignment="1" pivotButton="0" quotePrefix="0" xfId="1">
      <alignment wrapText="1"/>
    </xf>
    <xf numFmtId="166" fontId="65" fillId="0" borderId="66" applyAlignment="1" pivotButton="0" quotePrefix="0" xfId="1">
      <alignment wrapText="1"/>
    </xf>
    <xf numFmtId="166" fontId="65" fillId="0" borderId="55" applyAlignment="1" pivotButton="0" quotePrefix="0" xfId="1">
      <alignment wrapText="1"/>
    </xf>
    <xf numFmtId="166" fontId="66" fillId="13" borderId="49" applyAlignment="1" pivotButton="0" quotePrefix="0" xfId="1">
      <alignment wrapText="1"/>
    </xf>
    <xf numFmtId="166" fontId="58" fillId="0" borderId="43" applyAlignment="1" pivotButton="0" quotePrefix="0" xfId="1">
      <alignment wrapText="1"/>
    </xf>
    <xf numFmtId="166" fontId="71" fillId="0" borderId="45" applyAlignment="1" pivotButton="0" quotePrefix="0" xfId="1">
      <alignment wrapText="1"/>
    </xf>
    <xf numFmtId="166" fontId="58" fillId="0" borderId="55" applyAlignment="1" pivotButton="0" quotePrefix="0" xfId="1">
      <alignment wrapText="1"/>
    </xf>
    <xf numFmtId="166" fontId="58" fillId="0" borderId="45" applyAlignment="1" pivotButton="0" quotePrefix="0" xfId="1">
      <alignment wrapText="1"/>
    </xf>
    <xf numFmtId="166" fontId="75" fillId="0" borderId="45" applyAlignment="1" pivotButton="0" quotePrefix="0" xfId="1">
      <alignment wrapText="1"/>
    </xf>
    <xf numFmtId="166" fontId="68" fillId="13" borderId="53" applyAlignment="1" pivotButton="0" quotePrefix="0" xfId="1">
      <alignment wrapText="1"/>
    </xf>
    <xf numFmtId="166" fontId="73" fillId="0" borderId="53" applyAlignment="1" pivotButton="0" quotePrefix="0" xfId="1">
      <alignment wrapText="1"/>
    </xf>
    <xf numFmtId="166" fontId="63" fillId="0" borderId="53" applyAlignment="1" pivotButton="0" quotePrefix="0" xfId="1">
      <alignment wrapText="1"/>
    </xf>
    <xf numFmtId="166" fontId="46" fillId="0" borderId="0" applyAlignment="1" pivotButton="0" quotePrefix="0" xfId="1">
      <alignment wrapText="1"/>
    </xf>
    <xf numFmtId="166" fontId="49" fillId="0" borderId="0" applyAlignment="1" pivotButton="0" quotePrefix="0" xfId="1">
      <alignment wrapText="1"/>
    </xf>
    <xf numFmtId="166" fontId="55" fillId="0" borderId="0" applyAlignment="1" pivotButton="0" quotePrefix="0" xfId="1">
      <alignment horizontal="center" vertical="center" wrapText="1"/>
    </xf>
    <xf numFmtId="166" fontId="59" fillId="0" borderId="0" applyAlignment="1" pivotButton="0" quotePrefix="0" xfId="1">
      <alignment wrapText="1"/>
    </xf>
    <xf numFmtId="166" fontId="60" fillId="0" borderId="0" applyAlignment="1" pivotButton="0" quotePrefix="0" xfId="1">
      <alignment wrapText="1"/>
    </xf>
    <xf numFmtId="9" fontId="60" fillId="0" borderId="0" applyAlignment="1" pivotButton="0" quotePrefix="0" xfId="7">
      <alignment wrapText="1"/>
    </xf>
    <xf numFmtId="9" fontId="67" fillId="0" borderId="0" applyAlignment="1" pivotButton="0" quotePrefix="0" xfId="7">
      <alignment wrapText="1"/>
    </xf>
    <xf numFmtId="9" fontId="69" fillId="0" borderId="0" applyAlignment="1" pivotButton="0" quotePrefix="0" xfId="7">
      <alignment wrapText="1"/>
    </xf>
    <xf numFmtId="9" fontId="72" fillId="0" borderId="0" applyAlignment="1" pivotButton="0" quotePrefix="0" xfId="7">
      <alignment wrapText="1"/>
    </xf>
    <xf numFmtId="166" fontId="76" fillId="0" borderId="0" applyAlignment="1" pivotButton="0" quotePrefix="0" xfId="1">
      <alignment wrapText="1"/>
    </xf>
    <xf numFmtId="166" fontId="58" fillId="0" borderId="37" applyAlignment="1" pivotButton="0" quotePrefix="0" xfId="1">
      <alignment wrapText="1"/>
    </xf>
    <xf numFmtId="166" fontId="83" fillId="20" borderId="25" applyAlignment="1" pivotButton="0" quotePrefix="0" xfId="1">
      <alignment wrapText="1"/>
    </xf>
    <xf numFmtId="166" fontId="42" fillId="11" borderId="58" applyAlignment="1" pivotButton="0" quotePrefix="0" xfId="1">
      <alignment horizontal="center" vertical="center" wrapText="1"/>
    </xf>
    <xf numFmtId="166" fontId="44" fillId="0" borderId="56" applyAlignment="1" pivotButton="0" quotePrefix="0" xfId="1">
      <alignment horizontal="center" vertical="center" wrapText="1"/>
    </xf>
    <xf numFmtId="166" fontId="56" fillId="12" borderId="0" applyAlignment="1" pivotButton="0" quotePrefix="0" xfId="1">
      <alignment horizontal="center" vertical="center" wrapText="1"/>
    </xf>
    <xf numFmtId="166" fontId="56" fillId="12" borderId="68" applyAlignment="1" pivotButton="0" quotePrefix="0" xfId="1">
      <alignment horizontal="center" vertical="center" wrapText="1"/>
    </xf>
    <xf numFmtId="166" fontId="57" fillId="12" borderId="44" applyAlignment="1" pivotButton="0" quotePrefix="0" xfId="1">
      <alignment horizontal="center" vertical="center" wrapText="1"/>
    </xf>
    <xf numFmtId="166" fontId="44" fillId="0" borderId="0" applyAlignment="1" pivotButton="0" quotePrefix="0" xfId="1">
      <alignment horizontal="center" vertical="center" wrapText="1"/>
    </xf>
    <xf numFmtId="166" fontId="85" fillId="0" borderId="22" applyAlignment="1" pivotButton="0" quotePrefix="0" xfId="1">
      <alignment horizontal="center" vertical="center" wrapText="1"/>
    </xf>
    <xf numFmtId="166" fontId="83" fillId="20" borderId="22" applyAlignment="1" pivotButton="0" quotePrefix="0" xfId="1">
      <alignment wrapText="1"/>
    </xf>
    <xf numFmtId="166" fontId="17" fillId="0" borderId="49" applyAlignment="1" pivotButton="0" quotePrefix="0" xfId="1">
      <alignment wrapText="1"/>
    </xf>
    <xf numFmtId="166" fontId="17" fillId="0" borderId="43" applyAlignment="1" pivotButton="0" quotePrefix="0" xfId="1">
      <alignment wrapText="1"/>
    </xf>
    <xf numFmtId="166" fontId="17" fillId="0" borderId="0" applyAlignment="1" pivotButton="0" quotePrefix="0" xfId="1">
      <alignment wrapText="1"/>
    </xf>
    <xf numFmtId="166" fontId="17" fillId="0" borderId="51" applyAlignment="1" pivotButton="0" quotePrefix="0" xfId="1">
      <alignment wrapText="1"/>
    </xf>
    <xf numFmtId="166" fontId="83" fillId="0" borderId="0" applyAlignment="1" pivotButton="0" quotePrefix="0" xfId="1">
      <alignment wrapText="1"/>
    </xf>
    <xf numFmtId="166" fontId="85" fillId="0" borderId="37" applyAlignment="1" pivotButton="0" quotePrefix="0" xfId="1">
      <alignment horizontal="center" vertical="center" wrapText="1"/>
    </xf>
    <xf numFmtId="166" fontId="59" fillId="0" borderId="53" applyAlignment="1" pivotButton="0" quotePrefix="0" xfId="1">
      <alignment wrapText="1"/>
    </xf>
    <xf numFmtId="166" fontId="54" fillId="12" borderId="51" applyAlignment="1" pivotButton="0" quotePrefix="0" xfId="1">
      <alignment horizontal="center" vertical="center" wrapText="1"/>
    </xf>
    <xf numFmtId="166" fontId="56" fillId="12" borderId="13" applyAlignment="1" pivotButton="0" quotePrefix="0" xfId="1">
      <alignment horizontal="center" vertical="center" wrapText="1"/>
    </xf>
    <xf numFmtId="166" fontId="57" fillId="12" borderId="22" applyAlignment="1" pivotButton="0" quotePrefix="0" xfId="1">
      <alignment horizontal="center" vertical="center" wrapText="1"/>
    </xf>
    <xf numFmtId="166" fontId="79" fillId="0" borderId="0" applyAlignment="1" pivotButton="0" quotePrefix="0" xfId="1">
      <alignment wrapText="1"/>
    </xf>
    <xf numFmtId="166" fontId="56" fillId="0" borderId="0" applyAlignment="1" pivotButton="0" quotePrefix="0" xfId="1">
      <alignment horizontal="center" vertical="center" wrapText="1"/>
    </xf>
    <xf numFmtId="166" fontId="57" fillId="0" borderId="0" applyAlignment="1" pivotButton="0" quotePrefix="0" xfId="1">
      <alignment horizontal="center" vertical="center" wrapText="1"/>
    </xf>
    <xf numFmtId="166" fontId="55" fillId="0" borderId="53" applyAlignment="1" pivotButton="0" quotePrefix="0" xfId="1">
      <alignment horizontal="center" vertical="center" wrapText="1"/>
    </xf>
    <xf numFmtId="166" fontId="57" fillId="12" borderId="53" applyAlignment="1" pivotButton="0" quotePrefix="0" xfId="1">
      <alignment horizontal="center" vertical="center" wrapText="1"/>
    </xf>
    <xf numFmtId="166" fontId="54" fillId="0" borderId="0" applyAlignment="1" pivotButton="0" quotePrefix="0" xfId="1">
      <alignment horizontal="center" vertical="center" wrapText="1"/>
    </xf>
    <xf numFmtId="166" fontId="48" fillId="0" borderId="54" applyAlignment="1" pivotButton="0" quotePrefix="0" xfId="1">
      <alignment wrapText="1"/>
    </xf>
    <xf numFmtId="166" fontId="49" fillId="0" borderId="57" applyAlignment="1" pivotButton="0" quotePrefix="0" xfId="1">
      <alignment wrapText="1"/>
    </xf>
    <xf numFmtId="166" fontId="51" fillId="0" borderId="57" applyAlignment="1" pivotButton="0" quotePrefix="0" xfId="1">
      <alignment wrapText="1"/>
    </xf>
    <xf numFmtId="166" fontId="59" fillId="0" borderId="29" applyAlignment="1" pivotButton="0" quotePrefix="0" xfId="1">
      <alignment wrapText="1"/>
    </xf>
    <xf numFmtId="166" fontId="46" fillId="0" borderId="29" applyAlignment="1" pivotButton="0" quotePrefix="0" xfId="1">
      <alignment wrapText="1"/>
    </xf>
    <xf numFmtId="166" fontId="51" fillId="13" borderId="11" applyAlignment="1" pivotButton="0" quotePrefix="0" xfId="1">
      <alignment wrapText="1"/>
    </xf>
    <xf numFmtId="166" fontId="35" fillId="0" borderId="0" applyAlignment="1" pivotButton="0" quotePrefix="0" xfId="1">
      <alignment horizontal="center" vertical="center" wrapText="1"/>
    </xf>
    <xf numFmtId="14" fontId="35" fillId="0" borderId="0" applyAlignment="1" pivotButton="0" quotePrefix="0" xfId="1">
      <alignment wrapText="1"/>
    </xf>
    <xf numFmtId="166" fontId="35" fillId="0" borderId="0" applyAlignment="1" pivotButton="0" quotePrefix="0" xfId="1">
      <alignment vertical="top" wrapText="1"/>
    </xf>
    <xf numFmtId="166" fontId="35" fillId="0" borderId="71" pivotButton="0" quotePrefix="0" xfId="1"/>
    <xf numFmtId="166" fontId="88" fillId="0" borderId="71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left" vertical="center" wrapText="1"/>
    </xf>
    <xf numFmtId="166" fontId="89" fillId="0" borderId="71" applyAlignment="1" pivotButton="0" quotePrefix="0" xfId="1">
      <alignment horizontal="center" vertical="center" wrapText="1"/>
    </xf>
    <xf numFmtId="0" fontId="0" fillId="0" borderId="71" pivotButton="0" quotePrefix="0" xfId="0"/>
    <xf numFmtId="14" fontId="71" fillId="0" borderId="71" applyAlignment="1" pivotButton="0" quotePrefix="0" xfId="1">
      <alignment horizontal="center" vertical="center" wrapText="1"/>
    </xf>
    <xf numFmtId="9" fontId="40" fillId="9" borderId="74" applyAlignment="1" pivotButton="0" quotePrefix="0" xfId="9">
      <alignment horizontal="center" vertical="center" wrapText="1"/>
    </xf>
    <xf numFmtId="0" fontId="38" fillId="0" borderId="0" applyAlignment="1" pivotButton="0" quotePrefix="0" xfId="9">
      <alignment horizontal="left" vertical="center" wrapText="1"/>
    </xf>
    <xf numFmtId="0" fontId="38" fillId="0" borderId="67" applyAlignment="1" pivotButton="0" quotePrefix="0" xfId="9">
      <alignment horizontal="left" vertical="center" wrapText="1"/>
    </xf>
    <xf numFmtId="166" fontId="39" fillId="0" borderId="71" applyAlignment="1" pivotButton="0" quotePrefix="0" xfId="1">
      <alignment horizontal="center" vertical="center" wrapText="1"/>
    </xf>
    <xf numFmtId="0" fontId="29" fillId="0" borderId="0" applyAlignment="1" pivotButton="0" quotePrefix="0" xfId="2">
      <alignment horizontal="center" vertical="center" wrapText="1"/>
    </xf>
    <xf numFmtId="9" fontId="40" fillId="9" borderId="53" applyAlignment="1" pivotButton="0" quotePrefix="0" xfId="9">
      <alignment horizontal="center" vertical="center" wrapText="1"/>
    </xf>
    <xf numFmtId="49" fontId="40" fillId="9" borderId="57" applyAlignment="1" pivotButton="0" quotePrefix="0" xfId="9">
      <alignment horizontal="center" vertical="center" wrapText="1"/>
    </xf>
    <xf numFmtId="49" fontId="40" fillId="9" borderId="71" applyAlignment="1" pivotButton="0" quotePrefix="0" xfId="9">
      <alignment horizontal="center" vertical="center" wrapText="1"/>
    </xf>
    <xf numFmtId="166" fontId="103" fillId="0" borderId="0" applyAlignment="1" pivotButton="0" quotePrefix="0" xfId="1">
      <alignment wrapText="1"/>
    </xf>
    <xf numFmtId="17" fontId="82" fillId="0" borderId="37" applyAlignment="1" pivotButton="0" quotePrefix="0" xfId="0">
      <alignment horizontal="center" vertical="top" wrapText="1"/>
    </xf>
    <xf numFmtId="166" fontId="81" fillId="3" borderId="15" applyAlignment="1" pivotButton="0" quotePrefix="0" xfId="1">
      <alignment horizontal="center" vertical="top" wrapText="1"/>
    </xf>
    <xf numFmtId="166" fontId="103" fillId="0" borderId="0" applyAlignment="1" pivotButton="0" quotePrefix="0" xfId="1">
      <alignment vertical="top" wrapText="1"/>
    </xf>
    <xf numFmtId="166" fontId="43" fillId="0" borderId="0" applyAlignment="1" pivotButton="0" quotePrefix="0" xfId="1">
      <alignment horizontal="center" vertical="center" wrapText="1"/>
    </xf>
    <xf numFmtId="166" fontId="42" fillId="10" borderId="57" applyAlignment="1" pivotButton="0" quotePrefix="0" xfId="1">
      <alignment horizontal="center" vertical="center" wrapText="1"/>
    </xf>
    <xf numFmtId="166" fontId="42" fillId="19" borderId="0" applyAlignment="1" pivotButton="0" quotePrefix="0" xfId="1">
      <alignment horizontal="center" vertical="center" wrapText="1"/>
    </xf>
    <xf numFmtId="166" fontId="42" fillId="10" borderId="13" applyAlignment="1" pivotButton="0" quotePrefix="0" xfId="1">
      <alignment horizontal="center" vertical="center" wrapText="1"/>
    </xf>
    <xf numFmtId="166" fontId="35" fillId="0" borderId="53" applyAlignment="1" pivotButton="0" quotePrefix="0" xfId="1">
      <alignment wrapText="1"/>
    </xf>
    <xf numFmtId="166" fontId="35" fillId="0" borderId="57" applyAlignment="1" pivotButton="0" quotePrefix="0" xfId="1">
      <alignment wrapText="1"/>
    </xf>
    <xf numFmtId="166" fontId="42" fillId="0" borderId="43" applyAlignment="1" pivotButton="0" quotePrefix="0" xfId="1">
      <alignment horizontal="center" vertical="center" wrapText="1"/>
    </xf>
    <xf numFmtId="166" fontId="42" fillId="0" borderId="0" applyAlignment="1" pivotButton="0" quotePrefix="0" xfId="1">
      <alignment horizontal="center" vertical="center" wrapText="1"/>
    </xf>
    <xf numFmtId="166" fontId="35" fillId="0" borderId="29" applyAlignment="1" pivotButton="0" quotePrefix="0" xfId="1">
      <alignment wrapText="1"/>
    </xf>
    <xf numFmtId="166" fontId="52" fillId="0" borderId="0" applyAlignment="1" pivotButton="0" quotePrefix="0" xfId="1">
      <alignment wrapText="1"/>
    </xf>
    <xf numFmtId="166" fontId="53" fillId="0" borderId="0" applyAlignment="1" pivotButton="0" quotePrefix="0" xfId="1">
      <alignment wrapText="1"/>
    </xf>
    <xf numFmtId="166" fontId="53" fillId="0" borderId="44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56" fillId="12" borderId="49" applyAlignment="1" pivotButton="0" quotePrefix="0" xfId="0">
      <alignment horizontal="center" vertical="center" wrapText="1"/>
    </xf>
    <xf numFmtId="166" fontId="47" fillId="0" borderId="0" applyAlignment="1" pivotButton="0" quotePrefix="0" xfId="1">
      <alignment wrapText="1"/>
    </xf>
    <xf numFmtId="166" fontId="47" fillId="0" borderId="71" applyAlignment="1" pivotButton="0" quotePrefix="0" xfId="1">
      <alignment wrapText="1"/>
    </xf>
    <xf numFmtId="166" fontId="34" fillId="0" borderId="0" applyAlignment="1" pivotButton="0" quotePrefix="0" xfId="1">
      <alignment wrapText="1"/>
    </xf>
    <xf numFmtId="166" fontId="74" fillId="0" borderId="0" applyAlignment="1" pivotButton="0" quotePrefix="0" xfId="1">
      <alignment wrapText="1"/>
    </xf>
    <xf numFmtId="166" fontId="78" fillId="0" borderId="0" applyAlignment="1" pivotButton="0" quotePrefix="0" xfId="1">
      <alignment wrapText="1"/>
    </xf>
    <xf numFmtId="0" fontId="0" fillId="0" borderId="71" applyAlignment="1" pivotButton="0" quotePrefix="0" xfId="0">
      <alignment wrapText="1"/>
    </xf>
    <xf numFmtId="0" fontId="93" fillId="0" borderId="70" applyAlignment="1" pivotButton="0" quotePrefix="0" xfId="0">
      <alignment wrapText="1"/>
    </xf>
    <xf numFmtId="0" fontId="93" fillId="0" borderId="71" applyAlignment="1" pivotButton="0" quotePrefix="0" xfId="0">
      <alignment wrapText="1"/>
    </xf>
    <xf numFmtId="3" fontId="102" fillId="0" borderId="0" applyAlignment="1" pivotButton="0" quotePrefix="0" xfId="0">
      <alignment wrapText="1"/>
    </xf>
    <xf numFmtId="0" fontId="102" fillId="0" borderId="0" applyAlignment="1" pivotButton="0" quotePrefix="0" xfId="0">
      <alignment wrapText="1"/>
    </xf>
    <xf numFmtId="3" fontId="102" fillId="0" borderId="0" applyAlignment="1" pivotButton="0" quotePrefix="0" xfId="0">
      <alignment horizontal="right" wrapText="1"/>
    </xf>
    <xf numFmtId="166" fontId="41" fillId="0" borderId="17" applyAlignment="1" pivotButton="0" quotePrefix="0" xfId="1">
      <alignment horizontal="center" vertical="top"/>
    </xf>
    <xf numFmtId="166" fontId="44" fillId="0" borderId="13" applyAlignment="1" pivotButton="0" quotePrefix="0" xfId="1">
      <alignment horizontal="center" vertical="center" wrapText="1"/>
    </xf>
    <xf numFmtId="166" fontId="35" fillId="0" borderId="50" pivotButton="0" quotePrefix="0" xfId="1"/>
    <xf numFmtId="166" fontId="42" fillId="0" borderId="71" applyAlignment="1" pivotButton="0" quotePrefix="0" xfId="1">
      <alignment horizontal="center" vertical="center"/>
    </xf>
    <xf numFmtId="166" fontId="44" fillId="0" borderId="71" applyAlignment="1" pivotButton="0" quotePrefix="0" xfId="1">
      <alignment horizontal="center" vertical="center" wrapText="1"/>
    </xf>
    <xf numFmtId="166" fontId="80" fillId="0" borderId="71" applyAlignment="1" pivotButton="0" quotePrefix="0" xfId="1">
      <alignment horizontal="center" vertical="center" wrapText="1"/>
    </xf>
    <xf numFmtId="166" fontId="80" fillId="0" borderId="44" applyAlignment="1" pivotButton="0" quotePrefix="0" xfId="1">
      <alignment horizontal="center" vertical="center" wrapText="1"/>
    </xf>
    <xf numFmtId="166" fontId="73" fillId="0" borderId="50" applyAlignment="1" pivotButton="0" quotePrefix="0" xfId="1">
      <alignment wrapText="1"/>
    </xf>
    <xf numFmtId="166" fontId="50" fillId="0" borderId="71" applyAlignment="1" pivotButton="0" quotePrefix="0" xfId="1">
      <alignment wrapText="1"/>
    </xf>
    <xf numFmtId="166" fontId="73" fillId="0" borderId="71" applyAlignment="1" pivotButton="0" quotePrefix="0" xfId="1">
      <alignment wrapText="1"/>
    </xf>
    <xf numFmtId="166" fontId="104" fillId="0" borderId="71" applyAlignment="1" pivotButton="0" quotePrefix="0" xfId="1">
      <alignment wrapText="1"/>
    </xf>
    <xf numFmtId="166" fontId="104" fillId="0" borderId="44" applyAlignment="1" pivotButton="0" quotePrefix="0" xfId="1">
      <alignment wrapText="1"/>
    </xf>
    <xf numFmtId="166" fontId="104" fillId="0" borderId="29" applyAlignment="1" pivotButton="0" quotePrefix="0" xfId="1">
      <alignment wrapText="1"/>
    </xf>
    <xf numFmtId="166" fontId="104" fillId="0" borderId="52" applyAlignment="1" pivotButton="0" quotePrefix="0" xfId="1">
      <alignment wrapText="1"/>
    </xf>
    <xf numFmtId="166" fontId="104" fillId="0" borderId="53" applyAlignment="1" pivotButton="0" quotePrefix="0" xfId="1">
      <alignment wrapText="1"/>
    </xf>
    <xf numFmtId="166" fontId="104" fillId="0" borderId="50" applyAlignment="1" pivotButton="0" quotePrefix="0" xfId="1">
      <alignment wrapText="1"/>
    </xf>
    <xf numFmtId="166" fontId="50" fillId="0" borderId="44" applyAlignment="1" pivotButton="0" quotePrefix="0" xfId="1">
      <alignment wrapText="1"/>
    </xf>
    <xf numFmtId="166" fontId="84" fillId="0" borderId="71" applyAlignment="1" pivotButton="0" quotePrefix="0" xfId="1">
      <alignment wrapText="1"/>
    </xf>
    <xf numFmtId="166" fontId="61" fillId="0" borderId="71" applyAlignment="1" pivotButton="0" quotePrefix="0" xfId="1">
      <alignment wrapText="1"/>
    </xf>
    <xf numFmtId="166" fontId="73" fillId="0" borderId="14" applyAlignment="1" pivotButton="0" quotePrefix="0" xfId="1">
      <alignment wrapText="1"/>
    </xf>
    <xf numFmtId="166" fontId="73" fillId="0" borderId="48" applyAlignment="1" pivotButton="0" quotePrefix="0" xfId="1">
      <alignment wrapText="1"/>
    </xf>
    <xf numFmtId="166" fontId="73" fillId="0" borderId="5" applyAlignment="1" pivotButton="0" quotePrefix="0" xfId="1">
      <alignment wrapText="1"/>
    </xf>
    <xf numFmtId="166" fontId="73" fillId="0" borderId="42" applyAlignment="1" pivotButton="0" quotePrefix="0" xfId="1">
      <alignment wrapText="1"/>
    </xf>
    <xf numFmtId="166" fontId="73" fillId="13" borderId="6" applyAlignment="1" pivotButton="0" quotePrefix="0" xfId="1">
      <alignment wrapText="1"/>
    </xf>
    <xf numFmtId="166" fontId="73" fillId="13" borderId="46" applyAlignment="1" pivotButton="0" quotePrefix="0" xfId="1">
      <alignment wrapText="1"/>
    </xf>
    <xf numFmtId="166" fontId="50" fillId="0" borderId="64" applyAlignment="1" pivotButton="0" quotePrefix="0" xfId="1">
      <alignment wrapText="1"/>
    </xf>
    <xf numFmtId="166" fontId="35" fillId="0" borderId="31" pivotButton="0" quotePrefix="0" xfId="1"/>
    <xf numFmtId="166" fontId="50" fillId="0" borderId="31" applyAlignment="1" pivotButton="0" quotePrefix="0" xfId="1">
      <alignment wrapText="1"/>
    </xf>
    <xf numFmtId="166" fontId="62" fillId="0" borderId="64" applyAlignment="1" pivotButton="0" quotePrefix="0" xfId="1">
      <alignment wrapText="1"/>
    </xf>
    <xf numFmtId="166" fontId="35" fillId="0" borderId="64" pivotButton="0" quotePrefix="0" xfId="1"/>
    <xf numFmtId="166" fontId="50" fillId="7" borderId="31" applyAlignment="1" pivotButton="0" quotePrefix="0" xfId="1">
      <alignment wrapText="1"/>
    </xf>
    <xf numFmtId="166" fontId="51" fillId="0" borderId="25" applyAlignment="1" pivotButton="0" quotePrefix="0" xfId="1">
      <alignment wrapText="1"/>
    </xf>
    <xf numFmtId="166" fontId="51" fillId="0" borderId="52" applyAlignment="1" pivotButton="0" quotePrefix="0" xfId="1">
      <alignment wrapText="1"/>
    </xf>
    <xf numFmtId="166" fontId="42" fillId="0" borderId="13" applyAlignment="1" pivotButton="0" quotePrefix="0" xfId="1">
      <alignment horizontal="center" vertical="center" wrapText="1"/>
    </xf>
    <xf numFmtId="49" fontId="40" fillId="9" borderId="54" applyAlignment="1" pivotButton="0" quotePrefix="0" xfId="9">
      <alignment horizontal="center" vertical="center" wrapText="1"/>
    </xf>
    <xf numFmtId="0" fontId="110" fillId="0" borderId="13" applyAlignment="1" pivotButton="0" quotePrefix="0" xfId="0">
      <alignment wrapText="1"/>
    </xf>
    <xf numFmtId="166" fontId="108" fillId="0" borderId="16" applyAlignment="1" pivotButton="0" quotePrefix="0" xfId="1">
      <alignment vertical="top" wrapText="1"/>
    </xf>
    <xf numFmtId="166" fontId="109" fillId="0" borderId="16" applyAlignment="1" pivotButton="0" quotePrefix="0" xfId="1">
      <alignment horizontal="center" vertical="top" wrapText="1"/>
    </xf>
    <xf numFmtId="0" fontId="99" fillId="21" borderId="16" applyAlignment="1" pivotButton="0" quotePrefix="0" xfId="0">
      <alignment horizontal="center" vertical="center" wrapText="1"/>
    </xf>
    <xf numFmtId="0" fontId="93" fillId="21" borderId="70" applyAlignment="1" pivotButton="0" quotePrefix="0" xfId="0">
      <alignment wrapText="1"/>
    </xf>
    <xf numFmtId="0" fontId="99" fillId="21" borderId="49" applyAlignment="1" pivotButton="0" quotePrefix="0" xfId="0">
      <alignment horizontal="center" vertical="center" wrapText="1"/>
    </xf>
    <xf numFmtId="0" fontId="99" fillId="21" borderId="50" applyAlignment="1" pivotButton="0" quotePrefix="0" xfId="0">
      <alignment horizontal="center" vertical="center" wrapText="1"/>
    </xf>
    <xf numFmtId="166" fontId="35" fillId="17" borderId="0" applyAlignment="1" pivotButton="0" quotePrefix="0" xfId="1">
      <alignment wrapText="1"/>
    </xf>
    <xf numFmtId="14" fontId="81" fillId="17" borderId="7" applyAlignment="1" pivotButton="0" quotePrefix="0" xfId="1">
      <alignment horizontal="center" vertical="center" wrapText="1"/>
    </xf>
    <xf numFmtId="14" fontId="35" fillId="17" borderId="0" applyAlignment="1" pivotButton="0" quotePrefix="0" xfId="1">
      <alignment wrapText="1"/>
    </xf>
    <xf numFmtId="166" fontId="95" fillId="17" borderId="7" applyAlignment="1" pivotButton="0" quotePrefix="0" xfId="1">
      <alignment horizontal="center" vertical="center" wrapText="1"/>
    </xf>
    <xf numFmtId="166" fontId="96" fillId="17" borderId="9" applyAlignment="1" pivotButton="0" quotePrefix="0" xfId="1">
      <alignment horizontal="center" vertical="center" wrapText="1"/>
    </xf>
    <xf numFmtId="166" fontId="97" fillId="17" borderId="2" applyAlignment="1" pivotButton="0" quotePrefix="0" xfId="1">
      <alignment horizontal="center" vertical="center" wrapText="1"/>
    </xf>
    <xf numFmtId="166" fontId="96" fillId="17" borderId="2" applyAlignment="1" pivotButton="0" quotePrefix="0" xfId="1">
      <alignment horizontal="center" vertical="center" wrapText="1"/>
    </xf>
    <xf numFmtId="166" fontId="96" fillId="17" borderId="64" applyAlignment="1" pivotButton="0" quotePrefix="0" xfId="1">
      <alignment horizontal="center" vertical="center" wrapText="1"/>
    </xf>
    <xf numFmtId="166" fontId="35" fillId="17" borderId="0" applyAlignment="1" pivotButton="0" quotePrefix="0" xfId="1">
      <alignment horizontal="center" vertical="center" wrapText="1"/>
    </xf>
    <xf numFmtId="166" fontId="88" fillId="17" borderId="9" applyAlignment="1" pivotButton="0" quotePrefix="0" xfId="1">
      <alignment horizontal="left" vertical="center" wrapText="1"/>
    </xf>
    <xf numFmtId="166" fontId="88" fillId="17" borderId="2" applyAlignment="1" pivotButton="0" quotePrefix="0" xfId="1">
      <alignment horizontal="center" vertical="center" wrapText="1"/>
    </xf>
    <xf numFmtId="166" fontId="88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center" vertical="center" wrapText="1"/>
    </xf>
    <xf numFmtId="166" fontId="35" fillId="17" borderId="2" applyAlignment="1" pivotButton="0" quotePrefix="0" xfId="1">
      <alignment horizontal="center" vertical="center" wrapText="1"/>
    </xf>
    <xf numFmtId="166" fontId="35" fillId="17" borderId="64" applyAlignment="1" pivotButton="0" quotePrefix="0" xfId="1">
      <alignment horizontal="center" vertical="center" wrapText="1"/>
    </xf>
    <xf numFmtId="166" fontId="89" fillId="17" borderId="2" applyAlignment="1" pivotButton="0" quotePrefix="0" xfId="1">
      <alignment horizontal="center" vertical="center" wrapText="1"/>
    </xf>
    <xf numFmtId="166" fontId="87" fillId="17" borderId="2" applyAlignment="1" pivotButton="0" quotePrefix="0" xfId="1">
      <alignment horizontal="center" vertical="center" wrapText="1"/>
    </xf>
    <xf numFmtId="166" fontId="87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left" vertical="center" wrapText="1"/>
    </xf>
    <xf numFmtId="166" fontId="86" fillId="17" borderId="2" applyAlignment="1" pivotButton="0" quotePrefix="0" xfId="1">
      <alignment vertical="center" wrapText="1"/>
    </xf>
    <xf numFmtId="166" fontId="86" fillId="17" borderId="64" applyAlignment="1" pivotButton="0" quotePrefix="0" xfId="1">
      <alignment vertical="center" wrapText="1"/>
    </xf>
    <xf numFmtId="166" fontId="105" fillId="17" borderId="2" applyAlignment="1" pivotButton="0" quotePrefix="0" xfId="1">
      <alignment horizontal="center" vertical="center" wrapText="1"/>
    </xf>
    <xf numFmtId="3" fontId="106" fillId="17" borderId="64" applyAlignment="1" pivotButton="0" quotePrefix="0" xfId="1">
      <alignment horizontal="right" wrapText="1"/>
    </xf>
    <xf numFmtId="49" fontId="107" fillId="17" borderId="2" applyAlignment="1" pivotButton="0" quotePrefix="0" xfId="1">
      <alignment horizontal="right" vertical="center" wrapText="1"/>
    </xf>
    <xf numFmtId="166" fontId="88" fillId="17" borderId="10" applyAlignment="1" pivotButton="0" quotePrefix="0" xfId="1">
      <alignment horizontal="left" vertical="center" wrapText="1"/>
    </xf>
    <xf numFmtId="166" fontId="88" fillId="17" borderId="11" applyAlignment="1" pivotButton="0" quotePrefix="0" xfId="1">
      <alignment horizontal="center" vertical="center" wrapText="1"/>
    </xf>
    <xf numFmtId="166" fontId="89" fillId="17" borderId="11" applyAlignment="1" pivotButton="0" quotePrefix="0" xfId="1">
      <alignment horizontal="center" vertical="center" wrapText="1"/>
    </xf>
    <xf numFmtId="166" fontId="86" fillId="17" borderId="11" applyAlignment="1" pivotButton="0" quotePrefix="0" xfId="1">
      <alignment vertical="center" wrapText="1"/>
    </xf>
    <xf numFmtId="166" fontId="86" fillId="17" borderId="73" applyAlignment="1" pivotButton="0" quotePrefix="0" xfId="1">
      <alignment vertical="center" wrapText="1"/>
    </xf>
    <xf numFmtId="166" fontId="88" fillId="17" borderId="71" applyAlignment="1" pivotButton="0" quotePrefix="0" xfId="1">
      <alignment horizontal="center" vertical="center" wrapText="1"/>
    </xf>
    <xf numFmtId="166" fontId="105" fillId="17" borderId="11" applyAlignment="1" pivotButton="0" quotePrefix="0" xfId="1">
      <alignment horizontal="center" vertical="center" wrapText="1"/>
    </xf>
    <xf numFmtId="3" fontId="106" fillId="17" borderId="11" applyAlignment="1" pivotButton="0" quotePrefix="0" xfId="1">
      <alignment horizontal="right" wrapText="1"/>
    </xf>
    <xf numFmtId="3" fontId="106" fillId="17" borderId="73" applyAlignment="1" pivotButton="0" quotePrefix="0" xfId="1">
      <alignment horizontal="right" wrapText="1"/>
    </xf>
    <xf numFmtId="166" fontId="88" fillId="17" borderId="71" applyAlignment="1" pivotButton="0" quotePrefix="0" xfId="1">
      <alignment horizontal="left" vertical="center" wrapText="1"/>
    </xf>
    <xf numFmtId="166" fontId="89" fillId="17" borderId="71" applyAlignment="1" pivotButton="0" quotePrefix="0" xfId="1">
      <alignment horizontal="center" vertical="center" wrapText="1"/>
    </xf>
    <xf numFmtId="166" fontId="86" fillId="17" borderId="71" applyAlignment="1" pivotButton="0" quotePrefix="0" xfId="1">
      <alignment vertical="center" wrapText="1"/>
    </xf>
    <xf numFmtId="0" fontId="0" fillId="17" borderId="71" applyAlignment="1" pivotButton="0" quotePrefix="0" xfId="0">
      <alignment wrapText="1"/>
    </xf>
    <xf numFmtId="166" fontId="90" fillId="17" borderId="49" applyAlignment="1" pivotButton="0" quotePrefix="0" xfId="1">
      <alignment horizontal="center" vertical="center" wrapText="1"/>
    </xf>
    <xf numFmtId="166" fontId="92" fillId="17" borderId="53" applyAlignment="1" pivotButton="0" quotePrefix="0" xfId="1">
      <alignment horizontal="center" vertical="center" wrapText="1"/>
    </xf>
    <xf numFmtId="166" fontId="92" fillId="17" borderId="50" applyAlignment="1" pivotButton="0" quotePrefix="0" xfId="1">
      <alignment horizontal="center" vertical="center" wrapText="1"/>
    </xf>
    <xf numFmtId="166" fontId="91" fillId="17" borderId="43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left" vertical="center" wrapText="1"/>
    </xf>
    <xf numFmtId="166" fontId="35" fillId="17" borderId="71" applyAlignment="1" pivotButton="0" quotePrefix="0" xfId="1">
      <alignment horizontal="center" vertical="center" wrapText="1"/>
    </xf>
    <xf numFmtId="3" fontId="110" fillId="17" borderId="71" applyAlignment="1" pivotButton="0" quotePrefix="0" xfId="1">
      <alignment horizontal="right" vertical="center" wrapText="1"/>
    </xf>
    <xf numFmtId="166" fontId="35" fillId="17" borderId="44" applyAlignment="1" pivotButton="0" quotePrefix="0" xfId="1">
      <alignment horizontal="center" vertical="center" wrapText="1"/>
    </xf>
    <xf numFmtId="166" fontId="89" fillId="17" borderId="64" applyAlignment="1" pivotButton="0" quotePrefix="0" xfId="1">
      <alignment horizontal="center" vertical="center" wrapText="1"/>
    </xf>
    <xf numFmtId="166" fontId="91" fillId="17" borderId="51" applyAlignment="1" pivotButton="0" quotePrefix="0" xfId="1">
      <alignment horizontal="center" vertical="center" wrapText="1"/>
    </xf>
    <xf numFmtId="166" fontId="35" fillId="17" borderId="29" applyAlignment="1" pivotButton="0" quotePrefix="0" xfId="1">
      <alignment horizontal="left" vertical="center" wrapText="1"/>
    </xf>
    <xf numFmtId="166" fontId="35" fillId="17" borderId="29" applyAlignment="1" pivotButton="0" quotePrefix="0" xfId="1">
      <alignment horizontal="center" vertical="center" wrapText="1"/>
    </xf>
    <xf numFmtId="3" fontId="110" fillId="17" borderId="29" applyAlignment="1" pivotButton="0" quotePrefix="0" xfId="1">
      <alignment horizontal="right" vertical="center" wrapText="1"/>
    </xf>
    <xf numFmtId="166" fontId="35" fillId="17" borderId="52" applyAlignment="1" pivotButton="0" quotePrefix="0" xfId="1">
      <alignment horizontal="center" vertical="center" wrapText="1"/>
    </xf>
    <xf numFmtId="3" fontId="110" fillId="17" borderId="2" applyAlignment="1" pivotButton="0" quotePrefix="0" xfId="1">
      <alignment horizontal="right" wrapText="1"/>
    </xf>
    <xf numFmtId="3" fontId="110" fillId="17" borderId="64" applyAlignment="1" pivotButton="0" quotePrefix="0" xfId="1">
      <alignment horizontal="right" wrapText="1"/>
    </xf>
    <xf numFmtId="3" fontId="110" fillId="17" borderId="11" applyAlignment="1" pivotButton="0" quotePrefix="0" xfId="1">
      <alignment horizontal="right" wrapText="1"/>
    </xf>
    <xf numFmtId="166" fontId="88" fillId="17" borderId="73" applyAlignment="1" pivotButton="0" quotePrefix="0" xfId="1">
      <alignment horizontal="center" vertical="center" wrapText="1"/>
    </xf>
    <xf numFmtId="0" fontId="111" fillId="20" borderId="49" applyAlignment="1" pivotButton="0" quotePrefix="0" xfId="0">
      <alignment horizontal="center" vertical="center" wrapText="1"/>
    </xf>
    <xf numFmtId="166" fontId="111" fillId="20" borderId="53" applyAlignment="1" pivotButton="0" quotePrefix="0" xfId="1">
      <alignment horizontal="center" vertical="center" wrapText="1"/>
    </xf>
    <xf numFmtId="3" fontId="112" fillId="20" borderId="53" applyAlignment="1" pivotButton="0" quotePrefix="0" xfId="1">
      <alignment horizontal="right" wrapText="1"/>
    </xf>
    <xf numFmtId="3" fontId="112" fillId="20" borderId="50" applyAlignment="1" pivotButton="0" quotePrefix="0" xfId="0">
      <alignment horizontal="right" wrapText="1"/>
    </xf>
    <xf numFmtId="166" fontId="88" fillId="20" borderId="71" applyAlignment="1" pivotButton="0" quotePrefix="0" xfId="1">
      <alignment horizontal="center" vertical="center" wrapText="1"/>
    </xf>
    <xf numFmtId="3" fontId="101" fillId="20" borderId="53" applyAlignment="1" pivotButton="0" quotePrefix="0" xfId="0">
      <alignment horizontal="right" wrapText="1"/>
    </xf>
    <xf numFmtId="3" fontId="102" fillId="20" borderId="53" applyAlignment="1" pivotButton="0" quotePrefix="0" xfId="0">
      <alignment horizontal="right" wrapText="1"/>
    </xf>
    <xf numFmtId="3" fontId="101" fillId="20" borderId="50" applyAlignment="1" pivotButton="0" quotePrefix="0" xfId="0">
      <alignment horizontal="right" wrapText="1"/>
    </xf>
    <xf numFmtId="166" fontId="64" fillId="0" borderId="15" applyAlignment="1" pivotButton="0" quotePrefix="0" xfId="1">
      <alignment wrapText="1"/>
    </xf>
    <xf numFmtId="166" fontId="64" fillId="0" borderId="50" applyAlignment="1" pivotButton="0" quotePrefix="0" xfId="1">
      <alignment wrapText="1"/>
    </xf>
    <xf numFmtId="166" fontId="64" fillId="0" borderId="75" applyAlignment="1" pivotButton="0" quotePrefix="0" xfId="1">
      <alignment wrapText="1"/>
    </xf>
    <xf numFmtId="166" fontId="62" fillId="0" borderId="17" applyAlignment="1" pivotButton="0" quotePrefix="0" xfId="1">
      <alignment wrapText="1"/>
    </xf>
    <xf numFmtId="166" fontId="113" fillId="21" borderId="2" applyAlignment="1" pivotButton="0" quotePrefix="0" xfId="1">
      <alignment horizontal="left" vertical="center" wrapText="1"/>
    </xf>
    <xf numFmtId="0" fontId="117" fillId="20" borderId="58" applyAlignment="1" pivotButton="0" quotePrefix="0" xfId="0">
      <alignment horizontal="center" vertical="center" wrapText="1"/>
    </xf>
    <xf numFmtId="0" fontId="117" fillId="20" borderId="57" applyAlignment="1" pivotButton="0" quotePrefix="0" xfId="0">
      <alignment horizontal="center" vertical="center" wrapText="1"/>
    </xf>
    <xf numFmtId="0" fontId="117" fillId="20" borderId="57" applyAlignment="1" pivotButton="0" quotePrefix="0" xfId="1">
      <alignment horizontal="center" vertical="center" wrapText="1"/>
    </xf>
    <xf numFmtId="0" fontId="117" fillId="20" borderId="56" applyAlignment="1" pivotButton="0" quotePrefix="0" xfId="1">
      <alignment horizontal="center" vertical="center" wrapText="1"/>
    </xf>
    <xf numFmtId="0" fontId="111" fillId="20" borderId="51" applyAlignment="1" pivotButton="0" quotePrefix="0" xfId="0">
      <alignment horizontal="center" vertical="center" wrapText="1"/>
    </xf>
    <xf numFmtId="166" fontId="111" fillId="20" borderId="29" applyAlignment="1" pivotButton="0" quotePrefix="0" xfId="1">
      <alignment horizontal="center" vertical="center" wrapText="1"/>
    </xf>
    <xf numFmtId="3" fontId="112" fillId="20" borderId="29" applyAlignment="1" pivotButton="0" quotePrefix="0" xfId="1">
      <alignment horizontal="right" wrapText="1"/>
    </xf>
    <xf numFmtId="3" fontId="112" fillId="20" borderId="52" applyAlignment="1" pivotButton="0" quotePrefix="0" xfId="0">
      <alignment horizontal="right" wrapText="1"/>
    </xf>
    <xf numFmtId="0" fontId="117" fillId="20" borderId="2" applyAlignment="1" pivotButton="0" quotePrefix="0" xfId="0">
      <alignment vertical="center" wrapText="1"/>
    </xf>
    <xf numFmtId="0" fontId="118" fillId="20" borderId="2" applyAlignment="1" pivotButton="0" quotePrefix="0" xfId="0">
      <alignment horizontal="center" vertical="top" wrapText="1"/>
    </xf>
    <xf numFmtId="166" fontId="119" fillId="20" borderId="2" applyAlignment="1" pivotButton="0" quotePrefix="0" xfId="0">
      <alignment horizontal="center" vertical="center" wrapText="1"/>
    </xf>
    <xf numFmtId="0" fontId="119" fillId="20" borderId="2" applyAlignment="1" pivotButton="0" quotePrefix="0" xfId="0">
      <alignment vertical="center" wrapText="1"/>
    </xf>
    <xf numFmtId="166" fontId="119" fillId="20" borderId="2" applyAlignment="1" pivotButton="0" quotePrefix="0" xfId="0">
      <alignment vertical="center" wrapText="1"/>
    </xf>
    <xf numFmtId="0" fontId="118" fillId="20" borderId="2" applyAlignment="1" pivotButton="0" quotePrefix="0" xfId="0">
      <alignment vertical="center" wrapText="1"/>
    </xf>
    <xf numFmtId="3" fontId="118" fillId="20" borderId="2" applyAlignment="1" pivotButton="0" quotePrefix="0" xfId="0">
      <alignment horizontal="right" wrapText="1"/>
    </xf>
    <xf numFmtId="3" fontId="118" fillId="20" borderId="2" applyAlignment="1" pivotButton="0" quotePrefix="0" xfId="0">
      <alignment horizontal="right" vertical="center" wrapText="1"/>
    </xf>
    <xf numFmtId="0" fontId="111" fillId="20" borderId="58" applyAlignment="1" pivotButton="0" quotePrefix="0" xfId="0">
      <alignment horizontal="center" vertical="center" wrapText="1"/>
    </xf>
    <xf numFmtId="0" fontId="111" fillId="20" borderId="57" applyAlignment="1" pivotButton="0" quotePrefix="0" xfId="0">
      <alignment horizontal="center" wrapText="1"/>
    </xf>
    <xf numFmtId="0" fontId="111" fillId="20" borderId="56" applyAlignment="1" pivotButton="0" quotePrefix="0" xfId="0">
      <alignment horizontal="center" wrapText="1"/>
    </xf>
    <xf numFmtId="0" fontId="100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top" wrapText="1"/>
    </xf>
    <xf numFmtId="166" fontId="114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center" wrapText="1"/>
    </xf>
    <xf numFmtId="0" fontId="113" fillId="21" borderId="13" applyAlignment="1" pivotButton="0" quotePrefix="0" xfId="0">
      <alignment vertical="center" wrapText="1"/>
    </xf>
    <xf numFmtId="3" fontId="113" fillId="21" borderId="13" applyAlignment="1" pivotButton="0" quotePrefix="0" xfId="0">
      <alignment horizontal="right" vertical="center" wrapText="1"/>
    </xf>
    <xf numFmtId="3" fontId="113" fillId="21" borderId="2" applyAlignment="1" pivotButton="0" quotePrefix="0" xfId="0">
      <alignment horizontal="right" vertical="center" wrapText="1"/>
    </xf>
    <xf numFmtId="0" fontId="113" fillId="21" borderId="2" applyAlignment="1" pivotButton="0" quotePrefix="0" xfId="0">
      <alignment vertical="center" wrapText="1"/>
    </xf>
    <xf numFmtId="166" fontId="113" fillId="21" borderId="2" applyAlignment="1" pivotButton="0" quotePrefix="0" xfId="1">
      <alignment vertical="center" wrapText="1"/>
    </xf>
    <xf numFmtId="3" fontId="113" fillId="21" borderId="2" applyAlignment="1" pivotButton="0" quotePrefix="0" xfId="1">
      <alignment vertical="center" wrapText="1"/>
    </xf>
    <xf numFmtId="3" fontId="113" fillId="21" borderId="2" applyAlignment="1" pivotButton="0" quotePrefix="0" xfId="0">
      <alignment vertical="center" wrapText="1"/>
    </xf>
    <xf numFmtId="166" fontId="123" fillId="23" borderId="43" applyAlignment="1" pivotButton="0" quotePrefix="0" xfId="1">
      <alignment horizontal="center" vertical="center" wrapText="1"/>
    </xf>
    <xf numFmtId="3" fontId="123" fillId="23" borderId="71" applyAlignment="1" pivotButton="0" quotePrefix="0" xfId="1">
      <alignment horizontal="right" vertical="center" wrapText="1"/>
    </xf>
    <xf numFmtId="166" fontId="122" fillId="23" borderId="47" applyAlignment="1" pivotButton="0" quotePrefix="0" xfId="1">
      <alignment horizontal="center" vertical="center" wrapText="1"/>
    </xf>
    <xf numFmtId="3" fontId="122" fillId="23" borderId="1" applyAlignment="1" pivotButton="0" quotePrefix="0" xfId="1">
      <alignment horizontal="right" vertical="center" wrapText="1"/>
    </xf>
    <xf numFmtId="166" fontId="123" fillId="23" borderId="49" applyAlignment="1" pivotButton="0" quotePrefix="0" xfId="1">
      <alignment horizontal="center" vertical="center" wrapText="1"/>
    </xf>
    <xf numFmtId="49" fontId="123" fillId="23" borderId="26" applyAlignment="1" pivotButton="0" quotePrefix="0" xfId="1">
      <alignment horizontal="center" vertical="center" wrapText="1"/>
    </xf>
    <xf numFmtId="49" fontId="123" fillId="23" borderId="53" applyAlignment="1" pivotButton="0" quotePrefix="0" xfId="1">
      <alignment horizontal="center" vertical="center" wrapText="1"/>
    </xf>
    <xf numFmtId="49" fontId="123" fillId="23" borderId="75" applyAlignment="1" pivotButton="0" quotePrefix="0" xfId="1">
      <alignment horizontal="center" vertical="center" wrapText="1"/>
    </xf>
    <xf numFmtId="166" fontId="35" fillId="0" borderId="71" applyAlignment="1" pivotButton="0" quotePrefix="0" xfId="1">
      <alignment horizontal="center" vertical="center" wrapText="1"/>
    </xf>
    <xf numFmtId="0" fontId="100" fillId="20" borderId="31" applyAlignment="1" pivotButton="0" quotePrefix="0" xfId="0">
      <alignment horizontal="center" vertical="center" wrapText="1"/>
    </xf>
    <xf numFmtId="166" fontId="124" fillId="23" borderId="22" applyAlignment="1" pivotButton="0" quotePrefix="0" xfId="1">
      <alignment horizontal="center" vertical="center" wrapText="1"/>
    </xf>
    <xf numFmtId="166" fontId="35" fillId="23" borderId="54" applyAlignment="1" pivotButton="0" quotePrefix="0" xfId="1">
      <alignment horizontal="center" vertical="center" wrapText="1"/>
    </xf>
    <xf numFmtId="167" fontId="122" fillId="23" borderId="54" applyAlignment="1" pivotButton="0" quotePrefix="0" xfId="1">
      <alignment horizontal="center" vertical="center" wrapText="1"/>
    </xf>
    <xf numFmtId="3" fontId="123" fillId="23" borderId="1" applyAlignment="1" pivotButton="0" quotePrefix="0" xfId="1">
      <alignment horizontal="right" vertical="center" wrapText="1"/>
    </xf>
    <xf numFmtId="167" fontId="122" fillId="23" borderId="14" applyAlignment="1" pivotButton="0" quotePrefix="0" xfId="1">
      <alignment horizontal="center" vertical="center" wrapText="1"/>
    </xf>
    <xf numFmtId="166" fontId="42" fillId="19" borderId="71" applyAlignment="1" pivotButton="0" quotePrefix="0" xfId="1">
      <alignment horizontal="center" vertical="center" wrapText="1"/>
    </xf>
    <xf numFmtId="166" fontId="56" fillId="0" borderId="71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 wrapText="1"/>
    </xf>
    <xf numFmtId="166" fontId="17" fillId="0" borderId="71" applyAlignment="1" pivotButton="0" quotePrefix="0" xfId="1">
      <alignment wrapText="1"/>
    </xf>
    <xf numFmtId="166" fontId="79" fillId="0" borderId="71" applyAlignment="1" pivotButton="0" quotePrefix="0" xfId="1">
      <alignment wrapText="1"/>
    </xf>
    <xf numFmtId="166" fontId="52" fillId="0" borderId="71" applyAlignment="1" pivotButton="0" quotePrefix="0" xfId="1">
      <alignment wrapText="1"/>
    </xf>
    <xf numFmtId="166" fontId="70" fillId="0" borderId="71" applyAlignment="1" pivotButton="0" quotePrefix="0" xfId="1">
      <alignment wrapText="1"/>
    </xf>
    <xf numFmtId="166" fontId="35" fillId="17" borderId="71" applyAlignment="1" pivotButton="0" quotePrefix="0" xfId="1">
      <alignment wrapText="1"/>
    </xf>
    <xf numFmtId="14" fontId="35" fillId="17" borderId="71" applyAlignment="1" pivotButton="0" quotePrefix="0" xfId="1">
      <alignment wrapText="1"/>
    </xf>
    <xf numFmtId="166" fontId="125" fillId="23" borderId="29" applyAlignment="1" pivotButton="0" quotePrefix="0" xfId="1">
      <alignment horizontal="center" vertical="center" wrapText="1"/>
    </xf>
    <xf numFmtId="166" fontId="127" fillId="24" borderId="2" applyAlignment="1" pivotButton="0" quotePrefix="0" xfId="1">
      <alignment horizontal="left" vertical="center" wrapText="1"/>
    </xf>
    <xf numFmtId="166" fontId="127" fillId="24" borderId="2" applyAlignment="1" pivotButton="0" quotePrefix="0" xfId="1">
      <alignment horizontal="center" vertical="center" wrapText="1"/>
    </xf>
    <xf numFmtId="0" fontId="127" fillId="24" borderId="71" applyAlignment="1" pivotButton="0" quotePrefix="0" xfId="0">
      <alignment wrapText="1"/>
    </xf>
    <xf numFmtId="3" fontId="127" fillId="24" borderId="71" applyAlignment="1" pivotButton="0" quotePrefix="0" xfId="1">
      <alignment horizontal="right" vertical="center" wrapText="1"/>
    </xf>
    <xf numFmtId="166" fontId="129" fillId="25" borderId="71" applyAlignment="1" pivotButton="0" quotePrefix="0" xfId="1">
      <alignment horizontal="center" vertical="center" wrapText="1"/>
    </xf>
    <xf numFmtId="166" fontId="130" fillId="30" borderId="71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wrapText="1"/>
    </xf>
    <xf numFmtId="166" fontId="130" fillId="30" borderId="71" applyAlignment="1" pivotButton="0" quotePrefix="0" xfId="1">
      <alignment wrapText="1"/>
    </xf>
    <xf numFmtId="166" fontId="130" fillId="30" borderId="78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wrapText="1"/>
    </xf>
    <xf numFmtId="166" fontId="126" fillId="29" borderId="82" applyAlignment="1" pivotButton="0" quotePrefix="0" xfId="1">
      <alignment wrapText="1"/>
    </xf>
    <xf numFmtId="166" fontId="126" fillId="29" borderId="83" applyAlignment="1" pivotButton="0" quotePrefix="0" xfId="1">
      <alignment wrapText="1"/>
    </xf>
    <xf numFmtId="166" fontId="127" fillId="24" borderId="71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 wrapText="1"/>
    </xf>
    <xf numFmtId="166" fontId="130" fillId="30" borderId="78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/>
    </xf>
    <xf numFmtId="166" fontId="130" fillId="30" borderId="71" applyAlignment="1" pivotButton="0" quotePrefix="0" xfId="1">
      <alignment horizontal="right" wrapText="1"/>
    </xf>
    <xf numFmtId="166" fontId="126" fillId="29" borderId="83" applyAlignment="1" pivotButton="0" quotePrefix="0" xfId="1">
      <alignment horizontal="right" wrapText="1"/>
    </xf>
    <xf numFmtId="166" fontId="126" fillId="30" borderId="71" applyAlignment="1" pivotButton="0" quotePrefix="0" xfId="1">
      <alignment horizontal="right" wrapText="1"/>
    </xf>
    <xf numFmtId="166" fontId="130" fillId="30" borderId="71" applyAlignment="1" pivotButton="0" quotePrefix="0" xfId="1">
      <alignment horizontal="right" vertical="center" wrapText="1"/>
    </xf>
    <xf numFmtId="166" fontId="126" fillId="29" borderId="82" applyAlignment="1" pivotButton="0" quotePrefix="0" xfId="1">
      <alignment horizontal="right" wrapText="1"/>
    </xf>
    <xf numFmtId="166" fontId="128" fillId="25" borderId="71" applyAlignment="1" pivotButton="0" quotePrefix="0" xfId="1">
      <alignment horizontal="left" vertical="center" wrapText="1"/>
    </xf>
    <xf numFmtId="166" fontId="126" fillId="29" borderId="83" applyAlignment="1" pivotButton="0" quotePrefix="0" xfId="1">
      <alignment vertical="center" wrapText="1"/>
    </xf>
    <xf numFmtId="166" fontId="126" fillId="29" borderId="83" applyAlignment="1" pivotButton="0" quotePrefix="0" xfId="1">
      <alignment horizontal="center" vertical="center" wrapText="1"/>
    </xf>
    <xf numFmtId="166" fontId="130" fillId="30" borderId="71" applyAlignment="1" pivotButton="0" quotePrefix="0" xfId="0">
      <alignment horizontal="center" vertical="center" wrapText="1"/>
    </xf>
    <xf numFmtId="166" fontId="131" fillId="24" borderId="71" applyAlignment="1" pivotButton="0" quotePrefix="0" xfId="1">
      <alignment wrapText="1"/>
    </xf>
    <xf numFmtId="166" fontId="132" fillId="30" borderId="78" applyAlignment="1" pivotButton="0" quotePrefix="0" xfId="1">
      <alignment horizontal="center" vertical="center" wrapText="1"/>
    </xf>
    <xf numFmtId="166" fontId="132" fillId="30" borderId="71" applyAlignment="1" pivotButton="0" quotePrefix="0" xfId="1">
      <alignment wrapText="1"/>
    </xf>
    <xf numFmtId="166" fontId="132" fillId="29" borderId="83" applyAlignment="1" pivotButton="0" quotePrefix="0" xfId="1">
      <alignment wrapText="1"/>
    </xf>
    <xf numFmtId="166" fontId="132" fillId="30" borderId="71" applyAlignment="1" pivotButton="0" quotePrefix="0" xfId="1">
      <alignment horizontal="center" vertical="center" wrapText="1"/>
    </xf>
    <xf numFmtId="166" fontId="132" fillId="29" borderId="82" applyAlignment="1" pivotButton="0" quotePrefix="0" xfId="1">
      <alignment wrapText="1"/>
    </xf>
    <xf numFmtId="3" fontId="128" fillId="33" borderId="71" applyAlignment="1" pivotButton="0" quotePrefix="0" xfId="0">
      <alignment horizontal="right" wrapText="1"/>
    </xf>
    <xf numFmtId="166" fontId="127" fillId="24" borderId="71" applyAlignment="1" pivotButton="0" quotePrefix="0" xfId="1">
      <alignment horizontal="center" vertical="center" wrapText="1"/>
    </xf>
    <xf numFmtId="0" fontId="128" fillId="25" borderId="71" applyAlignment="1" pivotButton="0" quotePrefix="0" xfId="9">
      <alignment horizontal="left" vertical="center" wrapText="1"/>
    </xf>
    <xf numFmtId="166" fontId="128" fillId="25" borderId="71" applyAlignment="1" pivotButton="0" quotePrefix="0" xfId="1">
      <alignment wrapText="1"/>
    </xf>
    <xf numFmtId="166" fontId="133" fillId="0" borderId="0" applyAlignment="1" pivotButton="0" quotePrefix="0" xfId="1">
      <alignment wrapText="1"/>
    </xf>
    <xf numFmtId="0" fontId="134" fillId="24" borderId="71" applyAlignment="1" pivotButton="0" quotePrefix="0" xfId="2">
      <alignment horizontal="center" vertical="center" wrapText="1"/>
    </xf>
    <xf numFmtId="9" fontId="128" fillId="26" borderId="71" applyAlignment="1" pivotButton="0" quotePrefix="0" xfId="9">
      <alignment horizontal="center" vertical="center" wrapText="1"/>
    </xf>
    <xf numFmtId="166" fontId="128" fillId="26" borderId="71" applyAlignment="1" pivotButton="0" quotePrefix="0" xfId="1">
      <alignment horizontal="center" wrapText="1"/>
    </xf>
    <xf numFmtId="49" fontId="128" fillId="26" borderId="71" applyAlignment="1" pivotButton="0" quotePrefix="0" xfId="9">
      <alignment horizontal="center" vertical="center" wrapText="1"/>
    </xf>
    <xf numFmtId="166" fontId="127" fillId="24" borderId="71" applyAlignment="1" pivotButton="0" quotePrefix="0" xfId="1">
      <alignment vertical="top" wrapText="1"/>
    </xf>
    <xf numFmtId="166" fontId="135" fillId="24" borderId="71" applyAlignment="1" pivotButton="0" quotePrefix="0" xfId="1">
      <alignment horizontal="center" vertical="top" wrapText="1"/>
    </xf>
    <xf numFmtId="166" fontId="135" fillId="27" borderId="71" applyAlignment="1" pivotButton="0" quotePrefix="0" xfId="1">
      <alignment horizontal="center" vertical="top" wrapText="1"/>
    </xf>
    <xf numFmtId="17" fontId="135" fillId="24" borderId="71" applyAlignment="1" pivotButton="0" quotePrefix="0" xfId="0">
      <alignment horizontal="center" vertical="top" wrapText="1"/>
    </xf>
    <xf numFmtId="166" fontId="135" fillId="28" borderId="71" applyAlignment="1" pivotButton="0" quotePrefix="0" xfId="1">
      <alignment horizontal="center" vertical="top"/>
    </xf>
    <xf numFmtId="166" fontId="133" fillId="0" borderId="0" applyAlignment="1" pivotButton="0" quotePrefix="0" xfId="1">
      <alignment vertical="top" wrapText="1"/>
    </xf>
    <xf numFmtId="166" fontId="136" fillId="29" borderId="76" applyAlignment="1" pivotButton="0" quotePrefix="0" xfId="1">
      <alignment horizontal="center" vertical="center" wrapText="1"/>
    </xf>
    <xf numFmtId="166" fontId="132" fillId="29" borderId="76" applyAlignment="1" pivotButton="0" quotePrefix="0" xfId="1">
      <alignment horizontal="center" vertical="center" wrapText="1"/>
    </xf>
    <xf numFmtId="166" fontId="136" fillId="29" borderId="76" applyAlignment="1" pivotButton="0" quotePrefix="0" xfId="1">
      <alignment horizontal="center" wrapText="1"/>
    </xf>
    <xf numFmtId="0" fontId="136" fillId="29" borderId="76" applyAlignment="1" pivotButton="0" quotePrefix="0" xfId="0">
      <alignment horizontal="center" wrapText="1"/>
    </xf>
    <xf numFmtId="166" fontId="132" fillId="30" borderId="77" applyAlignment="1" pivotButton="0" quotePrefix="0" xfId="1">
      <alignment horizontal="center" vertical="center" wrapText="1"/>
    </xf>
    <xf numFmtId="166" fontId="130" fillId="30" borderId="77" pivotButton="0" quotePrefix="0" xfId="1"/>
    <xf numFmtId="166" fontId="131" fillId="24" borderId="71" applyAlignment="1" pivotButton="0" quotePrefix="0" xfId="1">
      <alignment horizontal="center" vertical="center" wrapText="1"/>
    </xf>
    <xf numFmtId="166" fontId="127" fillId="24" borderId="71" pivotButton="0" quotePrefix="0" xfId="1"/>
    <xf numFmtId="166" fontId="127" fillId="24" borderId="79" applyAlignment="1" pivotButton="0" quotePrefix="0" xfId="1">
      <alignment wrapText="1"/>
    </xf>
    <xf numFmtId="166" fontId="131" fillId="24" borderId="79" applyAlignment="1" pivotButton="0" quotePrefix="0" xfId="1">
      <alignment wrapText="1"/>
    </xf>
    <xf numFmtId="166" fontId="127" fillId="24" borderId="79" applyAlignment="1" pivotButton="0" quotePrefix="0" xfId="1">
      <alignment horizontal="right" wrapText="1"/>
    </xf>
    <xf numFmtId="166" fontId="137" fillId="24" borderId="81" applyAlignment="1" pivotButton="0" quotePrefix="0" xfId="1">
      <alignment wrapText="1"/>
    </xf>
    <xf numFmtId="166" fontId="131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 wrapText="1"/>
    </xf>
    <xf numFmtId="166" fontId="137" fillId="24" borderId="80" applyAlignment="1" pivotButton="0" quotePrefix="0" xfId="1">
      <alignment wrapText="1"/>
    </xf>
    <xf numFmtId="166" fontId="131" fillId="24" borderId="80" applyAlignment="1" pivotButton="0" quotePrefix="0" xfId="1">
      <alignment wrapText="1"/>
    </xf>
    <xf numFmtId="166" fontId="127" fillId="24" borderId="80" applyAlignment="1" pivotButton="0" quotePrefix="0" xfId="1">
      <alignment horizontal="right" wrapText="1"/>
    </xf>
    <xf numFmtId="166" fontId="127" fillId="24" borderId="81" applyAlignment="1" pivotButton="0" quotePrefix="0" xfId="1">
      <alignment wrapText="1"/>
    </xf>
    <xf numFmtId="0" fontId="127" fillId="24" borderId="81" applyAlignment="1" pivotButton="0" quotePrefix="0" xfId="0">
      <alignment horizontal="right"/>
    </xf>
    <xf numFmtId="166" fontId="127" fillId="24" borderId="81" applyAlignment="1" pivotButton="0" quotePrefix="0" xfId="1">
      <alignment horizontal="right"/>
    </xf>
    <xf numFmtId="166" fontId="127" fillId="24" borderId="79" applyAlignment="1" pivotButton="0" quotePrefix="0" xfId="1">
      <alignment horizontal="right"/>
    </xf>
    <xf numFmtId="9" fontId="137" fillId="24" borderId="81" applyAlignment="1" pivotButton="0" quotePrefix="0" xfId="7">
      <alignment wrapText="1"/>
    </xf>
    <xf numFmtId="166" fontId="137" fillId="24" borderId="84" applyAlignment="1" pivotButton="0" quotePrefix="0" xfId="1">
      <alignment wrapText="1"/>
    </xf>
    <xf numFmtId="166" fontId="137" fillId="24" borderId="84" applyAlignment="1" pivotButton="0" quotePrefix="0" xfId="1">
      <alignment horizontal="right" wrapText="1"/>
    </xf>
    <xf numFmtId="9" fontId="127" fillId="24" borderId="79" applyAlignment="1" pivotButton="0" quotePrefix="0" xfId="7">
      <alignment wrapText="1"/>
    </xf>
    <xf numFmtId="9" fontId="127" fillId="24" borderId="81" applyAlignment="1" pivotButton="0" quotePrefix="0" xfId="7">
      <alignment wrapText="1"/>
    </xf>
    <xf numFmtId="166" fontId="126" fillId="24" borderId="81" applyAlignment="1" pivotButton="0" quotePrefix="0" xfId="1">
      <alignment wrapText="1"/>
    </xf>
    <xf numFmtId="166" fontId="138" fillId="0" borderId="0" applyAlignment="1" pivotButton="0" quotePrefix="0" xfId="1">
      <alignment wrapText="1"/>
    </xf>
    <xf numFmtId="166" fontId="126" fillId="24" borderId="80" applyAlignment="1" pivotButton="0" quotePrefix="0" xfId="1">
      <alignment wrapText="1"/>
    </xf>
    <xf numFmtId="166" fontId="127" fillId="24" borderId="80" applyAlignment="1" pivotButton="0" quotePrefix="0" xfId="1">
      <alignment wrapText="1"/>
    </xf>
    <xf numFmtId="166" fontId="121" fillId="0" borderId="0" applyAlignment="1" pivotButton="0" quotePrefix="0" xfId="1">
      <alignment wrapText="1"/>
    </xf>
    <xf numFmtId="166" fontId="139" fillId="0" borderId="0" applyAlignment="1" pivotButton="0" quotePrefix="0" xfId="1">
      <alignment wrapText="1"/>
    </xf>
    <xf numFmtId="166" fontId="128" fillId="31" borderId="71" applyAlignment="1" pivotButton="0" quotePrefix="0" xfId="1">
      <alignment horizontal="center" vertical="center" wrapText="1"/>
    </xf>
    <xf numFmtId="166" fontId="128" fillId="31" borderId="71" applyAlignment="1" pivotButton="0" quotePrefix="0" xfId="1">
      <alignment wrapText="1"/>
    </xf>
    <xf numFmtId="14" fontId="127" fillId="24" borderId="71" applyAlignment="1" pivotButton="0" quotePrefix="0" xfId="1">
      <alignment wrapText="1"/>
    </xf>
    <xf numFmtId="14" fontId="140" fillId="32" borderId="86" applyAlignment="1" pivotButton="0" quotePrefix="0" xfId="1">
      <alignment horizontal="center" vertical="center" wrapText="1"/>
    </xf>
    <xf numFmtId="14" fontId="140" fillId="32" borderId="86" applyAlignment="1" pivotButton="0" quotePrefix="0" xfId="1">
      <alignment wrapText="1"/>
    </xf>
    <xf numFmtId="166" fontId="140" fillId="32" borderId="86" applyAlignment="1" pivotButton="0" quotePrefix="0" xfId="1">
      <alignment horizontal="center" vertical="center" wrapText="1"/>
    </xf>
    <xf numFmtId="14" fontId="127" fillId="24" borderId="71" applyAlignment="1" pivotButton="0" quotePrefix="0" xfId="1">
      <alignment horizontal="center" vertical="center" wrapText="1"/>
    </xf>
    <xf numFmtId="14" fontId="133" fillId="0" borderId="0" applyAlignment="1" pivotButton="0" quotePrefix="0" xfId="1">
      <alignment wrapText="1"/>
    </xf>
    <xf numFmtId="166" fontId="140" fillId="32" borderId="87" applyAlignment="1" pivotButton="0" quotePrefix="0" xfId="1">
      <alignment horizontal="center" vertical="center" wrapText="1"/>
    </xf>
    <xf numFmtId="166" fontId="133" fillId="0" borderId="0" applyAlignment="1" pivotButton="0" quotePrefix="0" xfId="1">
      <alignment horizontal="center" vertical="center" wrapText="1"/>
    </xf>
    <xf numFmtId="166" fontId="127" fillId="24" borderId="79" applyAlignment="1" pivotButton="0" quotePrefix="0" xfId="1">
      <alignment horizontal="center" vertical="center" wrapText="1"/>
    </xf>
    <xf numFmtId="166" fontId="127" fillId="24" borderId="81" applyAlignment="1" pivotButton="0" quotePrefix="0" xfId="1">
      <alignment horizontal="left" vertical="center" wrapText="1"/>
    </xf>
    <xf numFmtId="166" fontId="127" fillId="24" borderId="81" applyAlignment="1" pivotButton="0" quotePrefix="0" xfId="1">
      <alignment vertical="center" wrapText="1"/>
    </xf>
    <xf numFmtId="166" fontId="127" fillId="24" borderId="81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horizontal="left" vertical="center" wrapText="1"/>
    </xf>
    <xf numFmtId="166" fontId="126" fillId="24" borderId="88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vertical="center" wrapText="1"/>
    </xf>
    <xf numFmtId="166" fontId="142" fillId="0" borderId="71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horizontal="left" vertical="center" wrapText="1"/>
    </xf>
    <xf numFmtId="166" fontId="127" fillId="24" borderId="71" applyAlignment="1" pivotButton="0" quotePrefix="0" xfId="1">
      <alignment vertical="center" wrapText="1"/>
    </xf>
    <xf numFmtId="166" fontId="140" fillId="32" borderId="71" applyAlignment="1" pivotButton="0" quotePrefix="0" xfId="1">
      <alignment horizontal="center" vertical="center" wrapText="1"/>
    </xf>
    <xf numFmtId="0" fontId="143" fillId="27" borderId="89" applyAlignment="1" pivotButton="0" quotePrefix="0" xfId="0">
      <alignment horizontal="center" vertical="center" wrapText="1"/>
    </xf>
    <xf numFmtId="0" fontId="143" fillId="27" borderId="89" applyAlignment="1" pivotButton="0" quotePrefix="0" xfId="1">
      <alignment horizontal="center" vertical="center" wrapText="1"/>
    </xf>
    <xf numFmtId="0" fontId="130" fillId="30" borderId="71" applyAlignment="1" pivotButton="0" quotePrefix="0" xfId="0">
      <alignment horizontal="center" vertical="center" wrapText="1"/>
    </xf>
    <xf numFmtId="0" fontId="143" fillId="24" borderId="82" applyAlignment="1" pivotButton="0" quotePrefix="0" xfId="0">
      <alignment vertical="center" wrapText="1"/>
    </xf>
    <xf numFmtId="0" fontId="127" fillId="24" borderId="82" applyAlignment="1" pivotButton="0" quotePrefix="0" xfId="0">
      <alignment horizontal="center" vertical="top" wrapText="1"/>
    </xf>
    <xf numFmtId="166" fontId="127" fillId="24" borderId="82" applyAlignment="1" pivotButton="0" quotePrefix="0" xfId="0">
      <alignment horizontal="right" vertical="center" wrapText="1"/>
    </xf>
    <xf numFmtId="0" fontId="127" fillId="24" borderId="82" applyAlignment="1" pivotButton="0" quotePrefix="0" xfId="0">
      <alignment horizontal="right" vertical="center" wrapText="1"/>
    </xf>
    <xf numFmtId="0" fontId="126" fillId="24" borderId="82" applyAlignment="1" pivotButton="0" quotePrefix="0" xfId="0">
      <alignment vertical="center" wrapText="1"/>
    </xf>
    <xf numFmtId="3" fontId="127" fillId="24" borderId="82" applyAlignment="1" pivotButton="0" quotePrefix="0" xfId="0">
      <alignment horizontal="right" vertical="center" wrapText="1"/>
    </xf>
    <xf numFmtId="166" fontId="127" fillId="24" borderId="82" applyAlignment="1" pivotButton="0" quotePrefix="0" xfId="1">
      <alignment horizontal="center" vertical="center" wrapText="1"/>
    </xf>
    <xf numFmtId="0" fontId="143" fillId="24" borderId="81" applyAlignment="1" pivotButton="0" quotePrefix="0" xfId="0">
      <alignment vertical="center" wrapText="1"/>
    </xf>
    <xf numFmtId="0" fontId="127" fillId="24" borderId="81" applyAlignment="1" pivotButton="0" quotePrefix="0" xfId="0">
      <alignment vertical="center" wrapText="1"/>
    </xf>
    <xf numFmtId="3" fontId="127" fillId="24" borderId="81" applyAlignment="1" pivotButton="0" quotePrefix="0" xfId="0">
      <alignment horizontal="right" wrapText="1"/>
    </xf>
    <xf numFmtId="166" fontId="126" fillId="24" borderId="80" applyAlignment="1" pivotButton="0" quotePrefix="0" xfId="1">
      <alignment horizontal="left" vertical="center" wrapText="1"/>
    </xf>
    <xf numFmtId="3" fontId="127" fillId="24" borderId="80" applyAlignment="1" pivotButton="0" quotePrefix="0" xfId="0">
      <alignment horizontal="right" vertical="center" wrapText="1"/>
    </xf>
    <xf numFmtId="166" fontId="127" fillId="24" borderId="80" applyAlignment="1" pivotButton="0" quotePrefix="0" xfId="1">
      <alignment horizontal="center" vertical="center" wrapText="1"/>
    </xf>
    <xf numFmtId="3" fontId="127" fillId="24" borderId="81" applyAlignment="1" pivotButton="0" quotePrefix="0" xfId="0">
      <alignment horizontal="right" vertical="center" wrapText="1"/>
    </xf>
    <xf numFmtId="0" fontId="127" fillId="24" borderId="71" applyAlignment="1" pivotButton="0" quotePrefix="0" xfId="0">
      <alignment vertical="center" wrapText="1"/>
    </xf>
    <xf numFmtId="3" fontId="127" fillId="24" borderId="71" applyAlignment="1" pivotButton="0" quotePrefix="0" xfId="1">
      <alignment vertical="center" wrapText="1"/>
    </xf>
    <xf numFmtId="0" fontId="126" fillId="29" borderId="90" applyAlignment="1" pivotButton="0" quotePrefix="0" xfId="0">
      <alignment horizontal="center" vertical="center" wrapText="1"/>
    </xf>
    <xf numFmtId="166" fontId="126" fillId="29" borderId="90" applyAlignment="1" pivotButton="0" quotePrefix="0" xfId="1">
      <alignment horizontal="center" vertical="center" wrapText="1"/>
    </xf>
    <xf numFmtId="3" fontId="126" fillId="29" borderId="90" applyAlignment="1" pivotButton="0" quotePrefix="0" xfId="1">
      <alignment horizontal="right" wrapText="1"/>
    </xf>
    <xf numFmtId="3" fontId="126" fillId="29" borderId="90" applyAlignment="1" pivotButton="0" quotePrefix="0" xfId="0">
      <alignment horizontal="right" wrapText="1"/>
    </xf>
    <xf numFmtId="0" fontId="126" fillId="29" borderId="85" applyAlignment="1" pivotButton="0" quotePrefix="0" xfId="0">
      <alignment vertical="center" wrapText="1"/>
    </xf>
    <xf numFmtId="3" fontId="126" fillId="29" borderId="85" applyAlignment="1" pivotButton="0" quotePrefix="0" xfId="0">
      <alignment horizontal="right" vertical="center" wrapText="1"/>
    </xf>
    <xf numFmtId="166" fontId="126" fillId="29" borderId="85" applyAlignment="1" pivotButton="0" quotePrefix="0" xfId="1">
      <alignment horizontal="center" vertical="center" wrapText="1"/>
    </xf>
    <xf numFmtId="3" fontId="127" fillId="24" borderId="71" applyAlignment="1" pivotButton="0" quotePrefix="0" xfId="0">
      <alignment vertical="center" wrapText="1"/>
    </xf>
    <xf numFmtId="0" fontId="143" fillId="27" borderId="89" applyAlignment="1" pivotButton="0" quotePrefix="0" xfId="0">
      <alignment horizontal="center" wrapText="1"/>
    </xf>
    <xf numFmtId="0" fontId="126" fillId="24" borderId="82" applyAlignment="1" pivotButton="0" quotePrefix="0" xfId="0">
      <alignment horizontal="center" vertical="center" wrapText="1"/>
    </xf>
    <xf numFmtId="166" fontId="127" fillId="24" borderId="82" applyAlignment="1" pivotButton="0" quotePrefix="0" xfId="1">
      <alignment horizontal="center" vertical="top" wrapText="1"/>
    </xf>
    <xf numFmtId="0" fontId="126" fillId="24" borderId="81" applyAlignment="1" pivotButton="0" quotePrefix="0" xfId="0">
      <alignment horizontal="center" vertical="center" wrapText="1"/>
    </xf>
    <xf numFmtId="166" fontId="127" fillId="24" borderId="81" applyAlignment="1" pivotButton="0" quotePrefix="0" xfId="0">
      <alignment horizontal="right" vertical="center" wrapText="1"/>
    </xf>
    <xf numFmtId="166" fontId="128" fillId="34" borderId="71" applyAlignment="1" pivotButton="0" quotePrefix="0" xfId="1">
      <alignment horizontal="center" vertical="center" wrapText="1"/>
    </xf>
    <xf numFmtId="0" fontId="127" fillId="24" borderId="71" pivotButton="0" quotePrefix="0" xfId="0"/>
    <xf numFmtId="166" fontId="144" fillId="35" borderId="71" applyAlignment="1" pivotButton="0" quotePrefix="0" xfId="1">
      <alignment horizontal="center" vertical="center" wrapText="1"/>
    </xf>
    <xf numFmtId="166" fontId="133" fillId="0" borderId="71" applyAlignment="1" pivotButton="0" quotePrefix="0" xfId="1">
      <alignment horizontal="center" vertical="center" wrapText="1"/>
    </xf>
    <xf numFmtId="166" fontId="127" fillId="24" borderId="81" applyAlignment="1" pivotButton="0" quotePrefix="0" xfId="0">
      <alignment horizontal="center" vertical="center" wrapText="1"/>
    </xf>
    <xf numFmtId="0" fontId="127" fillId="24" borderId="71" applyAlignment="1" pivotButton="0" quotePrefix="0" xfId="0">
      <alignment horizontal="center" vertical="center" wrapText="1"/>
    </xf>
    <xf numFmtId="3" fontId="127" fillId="24" borderId="71" applyAlignment="1" pivotButton="0" quotePrefix="0" xfId="1">
      <alignment horizontal="right" wrapText="1"/>
    </xf>
    <xf numFmtId="3" fontId="127" fillId="24" borderId="71" applyAlignment="1" pivotButton="0" quotePrefix="0" xfId="0">
      <alignment horizontal="right" wrapText="1"/>
    </xf>
    <xf numFmtId="166" fontId="133" fillId="0" borderId="71" applyAlignment="1" pivotButton="0" quotePrefix="0" xfId="1">
      <alignment wrapText="1"/>
    </xf>
    <xf numFmtId="3" fontId="127" fillId="24" borderId="71" applyAlignment="1" pivotButton="0" quotePrefix="0" xfId="0">
      <alignment wrapText="1"/>
    </xf>
    <xf numFmtId="49" fontId="144" fillId="35" borderId="71" applyAlignment="1" pivotButton="0" quotePrefix="0" xfId="1">
      <alignment horizontal="center" vertical="center" wrapText="1"/>
    </xf>
    <xf numFmtId="166" fontId="144" fillId="24" borderId="2" applyAlignment="1" pivotButton="0" quotePrefix="0" xfId="1">
      <alignment horizontal="center" vertical="center" wrapText="1"/>
    </xf>
    <xf numFmtId="3" fontId="127" fillId="24" borderId="2" applyAlignment="1" pivotButton="0" quotePrefix="0" xfId="1">
      <alignment horizontal="right" vertical="center" wrapText="1"/>
    </xf>
    <xf numFmtId="3" fontId="126" fillId="24" borderId="2" applyAlignment="1" pivotButton="0" quotePrefix="0" xfId="1">
      <alignment horizontal="right" vertical="center" wrapText="1"/>
    </xf>
    <xf numFmtId="167" fontId="144" fillId="24" borderId="2" applyAlignment="1" pivotButton="0" quotePrefix="0" xfId="1">
      <alignment horizontal="center" vertical="center" wrapText="1"/>
    </xf>
    <xf numFmtId="4" fontId="127" fillId="24" borderId="2" applyAlignment="1" pivotButton="0" quotePrefix="0" xfId="1">
      <alignment horizontal="right" vertical="center" wrapText="1"/>
    </xf>
    <xf numFmtId="166" fontId="140" fillId="32" borderId="79" applyAlignment="1" pivotButton="0" quotePrefix="0" xfId="1">
      <alignment horizontal="left" vertical="center" wrapText="1"/>
    </xf>
    <xf numFmtId="166" fontId="140" fillId="32" borderId="79" applyAlignment="1" pivotButton="0" quotePrefix="0" xfId="1">
      <alignment horizontal="center" vertical="center" wrapText="1"/>
    </xf>
    <xf numFmtId="3" fontId="127" fillId="24" borderId="2" applyAlignment="1" pivotButton="0" quotePrefix="0" xfId="1">
      <alignment horizontal="right" wrapText="1"/>
    </xf>
    <xf numFmtId="49" fontId="141" fillId="24" borderId="2" applyAlignment="1" pivotButton="0" quotePrefix="0" xfId="1">
      <alignment horizontal="right" vertical="center" wrapText="1"/>
    </xf>
    <xf numFmtId="166" fontId="126" fillId="24" borderId="2" applyAlignment="1" pivotButton="0" quotePrefix="0" xfId="1">
      <alignment horizontal="left" vertical="center" wrapText="1"/>
    </xf>
    <xf numFmtId="166" fontId="126" fillId="24" borderId="2" applyAlignment="1" pivotButton="0" quotePrefix="0" xfId="1">
      <alignment horizontal="center" vertical="center" wrapText="1"/>
    </xf>
    <xf numFmtId="166" fontId="140" fillId="32" borderId="2" applyAlignment="1" pivotButton="0" quotePrefix="0" xfId="1">
      <alignment horizontal="center" vertical="center" wrapText="1"/>
    </xf>
    <xf numFmtId="3" fontId="126" fillId="29" borderId="2" applyAlignment="1" pivotButton="0" quotePrefix="0" xfId="1">
      <alignment horizontal="right" wrapText="1"/>
    </xf>
    <xf numFmtId="166" fontId="140" fillId="32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center" vertical="center" wrapText="1"/>
    </xf>
    <xf numFmtId="166" fontId="126" fillId="16" borderId="2" applyAlignment="1" pivotButton="0" quotePrefix="0" xfId="1">
      <alignment horizontal="right" vertical="center" wrapText="1"/>
    </xf>
    <xf numFmtId="168" fontId="127" fillId="24" borderId="71" applyAlignment="1" pivotButton="0" quotePrefix="0" xfId="0">
      <alignment wrapText="1"/>
    </xf>
    <xf numFmtId="166" fontId="128" fillId="34" borderId="71" applyAlignment="1" pivotButton="0" quotePrefix="0" xfId="1">
      <alignment horizontal="left" vertical="center" wrapText="1"/>
    </xf>
    <xf numFmtId="166" fontId="140" fillId="32" borderId="71" applyAlignment="1" pivotButton="0" quotePrefix="0" xfId="1">
      <alignment horizontal="center" vertical="center" wrapText="1"/>
    </xf>
    <xf numFmtId="0" fontId="140" fillId="32" borderId="71" applyAlignment="1" pivotButton="0" quotePrefix="0" xfId="0">
      <alignment wrapText="1"/>
    </xf>
    <xf numFmtId="0" fontId="128" fillId="25" borderId="71" applyAlignment="1" pivotButton="0" quotePrefix="0" xfId="0">
      <alignment horizontal="left" wrapText="1"/>
    </xf>
    <xf numFmtId="166" fontId="128" fillId="33" borderId="71" applyAlignment="1" pivotButton="0" quotePrefix="0" xfId="1">
      <alignment horizontal="center" vertical="center" wrapText="1"/>
    </xf>
    <xf numFmtId="0" fontId="128" fillId="33" borderId="71" applyAlignment="1" pivotButton="0" quotePrefix="0" xfId="0">
      <alignment wrapText="1"/>
    </xf>
    <xf numFmtId="0" fontId="128" fillId="33" borderId="71" applyAlignment="1" pivotButton="0" quotePrefix="0" xfId="0">
      <alignment horizontal="center" wrapText="1"/>
    </xf>
    <xf numFmtId="14" fontId="140" fillId="32" borderId="86" applyAlignment="1" pivotButton="0" quotePrefix="0" xfId="1">
      <alignment horizontal="center" vertical="center" wrapText="1"/>
    </xf>
    <xf numFmtId="0" fontId="140" fillId="32" borderId="86" applyAlignment="1" pivotButton="0" quotePrefix="0" xfId="0">
      <alignment wrapText="1"/>
    </xf>
    <xf numFmtId="166" fontId="140" fillId="32" borderId="86" applyAlignment="1" pivotButton="0" quotePrefix="0" xfId="1">
      <alignment horizontal="center" vertical="center" wrapText="1"/>
    </xf>
    <xf numFmtId="166" fontId="128" fillId="31" borderId="71" applyAlignment="1" pivotButton="0" quotePrefix="0" xfId="1">
      <alignment horizontal="center" vertical="center" wrapText="1"/>
    </xf>
    <xf numFmtId="0" fontId="128" fillId="31" borderId="71" applyAlignment="1" pivotButton="0" quotePrefix="0" xfId="0">
      <alignment wrapText="1"/>
    </xf>
    <xf numFmtId="166" fontId="129" fillId="25" borderId="71" applyAlignment="1" pivotButton="0" quotePrefix="0" xfId="1">
      <alignment horizontal="center" vertical="center" wrapText="1"/>
    </xf>
    <xf numFmtId="166" fontId="128" fillId="25" borderId="71" applyAlignment="1" pivotButton="0" quotePrefix="0" xfId="1">
      <alignment wrapText="1"/>
    </xf>
    <xf numFmtId="0" fontId="128" fillId="26" borderId="71" applyAlignment="1" pivotButton="0" quotePrefix="0" xfId="9">
      <alignment horizontal="center" vertical="center" wrapText="1"/>
    </xf>
    <xf numFmtId="166" fontId="135" fillId="27" borderId="71" applyAlignment="1" pivotButton="0" quotePrefix="0" xfId="1">
      <alignment horizontal="center" vertical="top" wrapText="1"/>
    </xf>
    <xf numFmtId="0" fontId="135" fillId="27" borderId="71" applyAlignment="1" pivotButton="0" quotePrefix="0" xfId="0">
      <alignment horizontal="center" wrapText="1"/>
    </xf>
    <xf numFmtId="0" fontId="135" fillId="28" borderId="71" applyAlignment="1" pivotButton="0" quotePrefix="0" xfId="0">
      <alignment horizontal="center" vertical="top" wrapText="1"/>
    </xf>
    <xf numFmtId="0" fontId="135" fillId="28" borderId="71" applyAlignment="1" pivotButton="0" quotePrefix="0" xfId="0">
      <alignment horizontal="center" wrapText="1"/>
    </xf>
    <xf numFmtId="166" fontId="120" fillId="23" borderId="51" applyAlignment="1" pivotButton="0" quotePrefix="0" xfId="1">
      <alignment horizontal="center" vertical="center" wrapText="1"/>
    </xf>
    <xf numFmtId="166" fontId="120" fillId="23" borderId="29" applyAlignment="1" pivotButton="0" quotePrefix="0" xfId="1">
      <alignment horizontal="center" vertical="center" wrapText="1"/>
    </xf>
    <xf numFmtId="0" fontId="101" fillId="20" borderId="49" applyAlignment="1" pivotButton="0" quotePrefix="0" xfId="0">
      <alignment horizontal="center" wrapText="1"/>
    </xf>
    <xf numFmtId="0" fontId="101" fillId="20" borderId="53" applyAlignment="1" pivotButton="0" quotePrefix="0" xfId="0">
      <alignment horizontal="center" wrapText="1"/>
    </xf>
    <xf numFmtId="14" fontId="80" fillId="17" borderId="8" applyAlignment="1" pivotButton="0" quotePrefix="0" xfId="1">
      <alignment horizontal="center" vertical="center" wrapText="1"/>
    </xf>
    <xf numFmtId="0" fontId="0" fillId="17" borderId="33" applyAlignment="1" pivotButton="0" quotePrefix="0" xfId="0">
      <alignment wrapText="1"/>
    </xf>
    <xf numFmtId="166" fontId="92" fillId="17" borderId="8" applyAlignment="1" pivotButton="0" quotePrefix="0" xfId="1">
      <alignment horizontal="center" vertical="center" wrapText="1"/>
    </xf>
    <xf numFmtId="166" fontId="39" fillId="0" borderId="69" applyAlignment="1" pivotButton="0" quotePrefix="0" xfId="1">
      <alignment horizontal="center" vertical="center" wrapText="1"/>
    </xf>
    <xf numFmtId="166" fontId="35" fillId="0" borderId="0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98" fillId="17" borderId="29" applyAlignment="1" pivotButton="0" quotePrefix="0" xfId="1">
      <alignment horizontal="center" vertical="center" wrapText="1"/>
    </xf>
    <xf numFmtId="0" fontId="2" fillId="17" borderId="29" applyAlignment="1" pivotButton="0" quotePrefix="0" xfId="0">
      <alignment wrapText="1"/>
    </xf>
    <xf numFmtId="0" fontId="82" fillId="18" borderId="37" applyAlignment="1" pivotButton="0" quotePrefix="0" xfId="0">
      <alignment horizontal="center" vertical="top" wrapText="1"/>
    </xf>
    <xf numFmtId="0" fontId="0" fillId="0" borderId="53" applyAlignment="1" pivotButton="0" quotePrefix="0" xfId="0">
      <alignment wrapText="1"/>
    </xf>
    <xf numFmtId="0" fontId="0" fillId="0" borderId="50" applyAlignment="1" pivotButton="0" quotePrefix="0" xfId="0">
      <alignment wrapText="1"/>
    </xf>
    <xf numFmtId="166" fontId="115" fillId="20" borderId="29" applyAlignment="1" pivotButton="0" quotePrefix="0" xfId="1">
      <alignment horizontal="center" vertical="center" wrapText="1"/>
    </xf>
    <xf numFmtId="0" fontId="116" fillId="20" borderId="29" applyAlignment="1" pivotButton="0" quotePrefix="0" xfId="0">
      <alignment wrapText="1"/>
    </xf>
    <xf numFmtId="0" fontId="40" fillId="9" borderId="53" applyAlignment="1" pivotButton="0" quotePrefix="0" xfId="9">
      <alignment horizontal="center" vertical="center" wrapText="1"/>
    </xf>
    <xf numFmtId="0" fontId="40" fillId="9" borderId="50" applyAlignment="1" pivotButton="0" quotePrefix="0" xfId="9">
      <alignment horizontal="center" vertical="center" wrapText="1"/>
    </xf>
    <xf numFmtId="0" fontId="94" fillId="22" borderId="71" applyAlignment="1" pivotButton="0" quotePrefix="0" xfId="0">
      <alignment horizontal="center" wrapText="1"/>
    </xf>
    <xf numFmtId="0" fontId="0" fillId="17" borderId="29" applyAlignment="1" pivotButton="0" quotePrefix="0" xfId="0">
      <alignment wrapText="1"/>
    </xf>
    <xf numFmtId="166" fontId="92" fillId="17" borderId="72" applyAlignment="1" pivotButton="0" quotePrefix="0" xfId="1">
      <alignment horizontal="center" vertical="center" wrapText="1"/>
    </xf>
    <xf numFmtId="0" fontId="0" fillId="17" borderId="28" applyAlignment="1" pivotButton="0" quotePrefix="0" xfId="0">
      <alignment wrapText="1"/>
    </xf>
    <xf numFmtId="0" fontId="0" fillId="17" borderId="61" applyAlignment="1" pivotButton="0" quotePrefix="0" xfId="0">
      <alignment wrapText="1"/>
    </xf>
    <xf numFmtId="166" fontId="41" fillId="10" borderId="49" applyAlignment="1" pivotButton="0" quotePrefix="0" xfId="1">
      <alignment horizontal="center" vertical="top" wrapText="1"/>
    </xf>
    <xf numFmtId="0" fontId="12" fillId="0" borderId="71" applyAlignment="1" pivotButton="0" quotePrefix="0" xfId="0">
      <alignment horizontal="center"/>
    </xf>
    <xf numFmtId="0" fontId="0" fillId="0" borderId="0" pivotButton="0" quotePrefix="0" xfId="0"/>
    <xf numFmtId="166" fontId="35" fillId="0" borderId="0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39" fillId="0" borderId="69" applyAlignment="1" pivotButton="0" quotePrefix="0" xfId="1">
      <alignment horizontal="center" vertical="center" wrapText="1"/>
    </xf>
    <xf numFmtId="166" fontId="39" fillId="0" borderId="71" applyAlignment="1" pivotButton="0" quotePrefix="0" xfId="1">
      <alignment horizontal="center" vertical="center" wrapText="1"/>
    </xf>
    <xf numFmtId="0" fontId="0" fillId="0" borderId="53" pivotButton="0" quotePrefix="0" xfId="0"/>
    <xf numFmtId="0" fontId="0" fillId="0" borderId="50" pivotButton="0" quotePrefix="0" xfId="0"/>
    <xf numFmtId="166" fontId="103" fillId="0" borderId="0" applyAlignment="1" pivotButton="0" quotePrefix="0" xfId="1">
      <alignment wrapText="1"/>
    </xf>
    <xf numFmtId="166" fontId="35" fillId="0" borderId="0" applyAlignment="1" pivotButton="0" quotePrefix="0" xfId="1">
      <alignment vertical="top" wrapText="1"/>
    </xf>
    <xf numFmtId="166" fontId="41" fillId="10" borderId="49" applyAlignment="1" pivotButton="0" quotePrefix="0" xfId="1">
      <alignment horizontal="center" vertical="top" wrapText="1"/>
    </xf>
    <xf numFmtId="166" fontId="81" fillId="3" borderId="15" applyAlignment="1" pivotButton="0" quotePrefix="0" xfId="1">
      <alignment horizontal="center" vertical="top" wrapText="1"/>
    </xf>
    <xf numFmtId="166" fontId="108" fillId="0" borderId="16" applyAlignment="1" pivotButton="0" quotePrefix="0" xfId="1">
      <alignment vertical="top" wrapText="1"/>
    </xf>
    <xf numFmtId="166" fontId="109" fillId="0" borderId="16" applyAlignment="1" pivotButton="0" quotePrefix="0" xfId="1">
      <alignment horizontal="center" vertical="top" wrapText="1"/>
    </xf>
    <xf numFmtId="166" fontId="41" fillId="0" borderId="17" applyAlignment="1" pivotButton="0" quotePrefix="0" xfId="1">
      <alignment horizontal="center" vertical="top"/>
    </xf>
    <xf numFmtId="166" fontId="103" fillId="0" borderId="0" applyAlignment="1" pivotButton="0" quotePrefix="0" xfId="1">
      <alignment vertical="top" wrapText="1"/>
    </xf>
    <xf numFmtId="166" fontId="42" fillId="11" borderId="58" applyAlignment="1" pivotButton="0" quotePrefix="0" xfId="1">
      <alignment horizontal="center" vertical="center" wrapText="1"/>
    </xf>
    <xf numFmtId="166" fontId="43" fillId="0" borderId="0" applyAlignment="1" pivotButton="0" quotePrefix="0" xfId="1">
      <alignment horizontal="center" vertical="center" wrapText="1"/>
    </xf>
    <xf numFmtId="166" fontId="42" fillId="10" borderId="57" applyAlignment="1" pivotButton="0" quotePrefix="0" xfId="1">
      <alignment horizontal="center" vertical="center" wrapText="1"/>
    </xf>
    <xf numFmtId="166" fontId="42" fillId="19" borderId="0" applyAlignment="1" pivotButton="0" quotePrefix="0" xfId="1">
      <alignment horizontal="center" vertical="center" wrapText="1"/>
    </xf>
    <xf numFmtId="166" fontId="42" fillId="19" borderId="71" applyAlignment="1" pivotButton="0" quotePrefix="0" xfId="1">
      <alignment horizontal="center" vertical="center" wrapText="1"/>
    </xf>
    <xf numFmtId="166" fontId="44" fillId="0" borderId="56" applyAlignment="1" pivotButton="0" quotePrefix="0" xfId="1">
      <alignment horizontal="center" vertical="center" wrapText="1"/>
    </xf>
    <xf numFmtId="166" fontId="42" fillId="10" borderId="13" applyAlignment="1" pivotButton="0" quotePrefix="0" xfId="1">
      <alignment horizontal="center" vertical="center" wrapText="1"/>
    </xf>
    <xf numFmtId="166" fontId="42" fillId="0" borderId="13" applyAlignment="1" pivotButton="0" quotePrefix="0" xfId="1">
      <alignment horizontal="center" vertical="center" wrapText="1"/>
    </xf>
    <xf numFmtId="166" fontId="44" fillId="0" borderId="13" applyAlignment="1" pivotButton="0" quotePrefix="0" xfId="1">
      <alignment horizontal="center" vertical="center" wrapText="1"/>
    </xf>
    <xf numFmtId="166" fontId="54" fillId="12" borderId="37" applyAlignment="1" pivotButton="0" quotePrefix="0" xfId="1">
      <alignment horizontal="center" vertical="center" wrapText="1"/>
    </xf>
    <xf numFmtId="166" fontId="55" fillId="0" borderId="53" applyAlignment="1" pivotButton="0" quotePrefix="0" xfId="1">
      <alignment horizontal="center" vertical="center" wrapText="1"/>
    </xf>
    <xf numFmtId="166" fontId="56" fillId="12" borderId="49" applyAlignment="1" pivotButton="0" quotePrefix="0" xfId="1">
      <alignment horizontal="center" vertical="center" wrapText="1"/>
    </xf>
    <xf numFmtId="166" fontId="56" fillId="12" borderId="53" applyAlignment="1" pivotButton="0" quotePrefix="0" xfId="1">
      <alignment horizontal="center" vertical="center" wrapText="1"/>
    </xf>
    <xf numFmtId="166" fontId="57" fillId="12" borderId="53" applyAlignment="1" pivotButton="0" quotePrefix="0" xfId="1">
      <alignment horizontal="center" vertical="center" wrapText="1"/>
    </xf>
    <xf numFmtId="166" fontId="35" fillId="0" borderId="53" applyAlignment="1" pivotButton="0" quotePrefix="0" xfId="1">
      <alignment wrapText="1"/>
    </xf>
    <xf numFmtId="166" fontId="35" fillId="0" borderId="53" pivotButton="0" quotePrefix="0" xfId="1"/>
    <xf numFmtId="166" fontId="35" fillId="0" borderId="50" pivotButton="0" quotePrefix="0" xfId="1"/>
    <xf numFmtId="166" fontId="54" fillId="0" borderId="0" applyAlignment="1" pivotButton="0" quotePrefix="0" xfId="1">
      <alignment horizontal="center" vertical="center" wrapText="1"/>
    </xf>
    <xf numFmtId="166" fontId="55" fillId="0" borderId="0" applyAlignment="1" pivotButton="0" quotePrefix="0" xfId="1">
      <alignment horizontal="center" vertical="center" wrapText="1"/>
    </xf>
    <xf numFmtId="166" fontId="56" fillId="0" borderId="0" applyAlignment="1" pivotButton="0" quotePrefix="0" xfId="1">
      <alignment horizontal="center" vertical="center" wrapText="1"/>
    </xf>
    <xf numFmtId="166" fontId="56" fillId="0" borderId="71" applyAlignment="1" pivotButton="0" quotePrefix="0" xfId="1">
      <alignment horizontal="center" vertical="center" wrapText="1"/>
    </xf>
    <xf numFmtId="166" fontId="57" fillId="0" borderId="0" applyAlignment="1" pivotButton="0" quotePrefix="0" xfId="1">
      <alignment horizontal="center" vertical="center" wrapText="1"/>
    </xf>
    <xf numFmtId="166" fontId="35" fillId="0" borderId="71" pivotButton="0" quotePrefix="0" xfId="1"/>
    <xf numFmtId="166" fontId="48" fillId="0" borderId="54" applyAlignment="1" pivotButton="0" quotePrefix="0" xfId="1">
      <alignment wrapText="1"/>
    </xf>
    <xf numFmtId="166" fontId="49" fillId="0" borderId="57" applyAlignment="1" pivotButton="0" quotePrefix="0" xfId="1">
      <alignment wrapText="1"/>
    </xf>
    <xf numFmtId="166" fontId="50" fillId="0" borderId="58" applyAlignment="1" pivotButton="0" quotePrefix="0" xfId="1">
      <alignment wrapText="1"/>
    </xf>
    <xf numFmtId="166" fontId="50" fillId="0" borderId="57" applyAlignment="1" pivotButton="0" quotePrefix="0" xfId="1">
      <alignment wrapText="1"/>
    </xf>
    <xf numFmtId="166" fontId="51" fillId="0" borderId="57" applyAlignment="1" pivotButton="0" quotePrefix="0" xfId="1">
      <alignment wrapText="1"/>
    </xf>
    <xf numFmtId="166" fontId="35" fillId="0" borderId="57" applyAlignment="1" pivotButton="0" quotePrefix="0" xfId="1">
      <alignment wrapText="1"/>
    </xf>
    <xf numFmtId="166" fontId="50" fillId="0" borderId="56" applyAlignment="1" pivotButton="0" quotePrefix="0" xfId="1">
      <alignment wrapText="1"/>
    </xf>
    <xf numFmtId="166" fontId="85" fillId="0" borderId="22" applyAlignment="1" pivotButton="0" quotePrefix="0" xfId="1">
      <alignment horizontal="center" vertical="center" wrapText="1"/>
    </xf>
    <xf numFmtId="166" fontId="42" fillId="0" borderId="43" applyAlignment="1" pivotButton="0" quotePrefix="0" xfId="1">
      <alignment horizontal="center" vertical="center" wrapText="1"/>
    </xf>
    <xf numFmtId="166" fontId="42" fillId="0" borderId="0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 wrapText="1"/>
    </xf>
    <xf numFmtId="166" fontId="44" fillId="0" borderId="0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/>
    </xf>
    <xf numFmtId="166" fontId="44" fillId="0" borderId="71" applyAlignment="1" pivotButton="0" quotePrefix="0" xfId="1">
      <alignment horizontal="center" vertical="center" wrapText="1"/>
    </xf>
    <xf numFmtId="166" fontId="80" fillId="0" borderId="71" applyAlignment="1" pivotButton="0" quotePrefix="0" xfId="1">
      <alignment horizontal="center" vertical="center" wrapText="1"/>
    </xf>
    <xf numFmtId="166" fontId="80" fillId="0" borderId="44" applyAlignment="1" pivotButton="0" quotePrefix="0" xfId="1">
      <alignment horizontal="center" vertical="center" wrapText="1"/>
    </xf>
    <xf numFmtId="166" fontId="58" fillId="0" borderId="37" applyAlignment="1" pivotButton="0" quotePrefix="0" xfId="1">
      <alignment wrapText="1"/>
    </xf>
    <xf numFmtId="166" fontId="59" fillId="0" borderId="0" applyAlignment="1" pivotButton="0" quotePrefix="0" xfId="1">
      <alignment wrapText="1"/>
    </xf>
    <xf numFmtId="166" fontId="17" fillId="0" borderId="49" applyAlignment="1" pivotButton="0" quotePrefix="0" xfId="1">
      <alignment wrapText="1"/>
    </xf>
    <xf numFmtId="166" fontId="17" fillId="0" borderId="53" applyAlignment="1" pivotButton="0" quotePrefix="0" xfId="1">
      <alignment wrapText="1"/>
    </xf>
    <xf numFmtId="166" fontId="17" fillId="0" borderId="16" applyAlignment="1" pivotButton="0" quotePrefix="0" xfId="1">
      <alignment wrapText="1"/>
    </xf>
    <xf numFmtId="166" fontId="50" fillId="0" borderId="50" applyAlignment="1" pivotButton="0" quotePrefix="0" xfId="1">
      <alignment wrapText="1"/>
    </xf>
    <xf numFmtId="166" fontId="73" fillId="0" borderId="50" applyAlignment="1" pivotButton="0" quotePrefix="0" xfId="1">
      <alignment wrapText="1"/>
    </xf>
    <xf numFmtId="166" fontId="83" fillId="20" borderId="22" applyAlignment="1" pivotButton="0" quotePrefix="0" xfId="1">
      <alignment wrapText="1"/>
    </xf>
    <xf numFmtId="166" fontId="17" fillId="0" borderId="43" applyAlignment="1" pivotButton="0" quotePrefix="0" xfId="1">
      <alignment wrapText="1"/>
    </xf>
    <xf numFmtId="166" fontId="17" fillId="0" borderId="0" applyAlignment="1" pivotButton="0" quotePrefix="0" xfId="1">
      <alignment wrapText="1"/>
    </xf>
    <xf numFmtId="166" fontId="17" fillId="0" borderId="71" applyAlignment="1" pivotButton="0" quotePrefix="0" xfId="1">
      <alignment wrapText="1"/>
    </xf>
    <xf numFmtId="166" fontId="50" fillId="0" borderId="0" applyAlignment="1" pivotButton="0" quotePrefix="0" xfId="1">
      <alignment wrapText="1"/>
    </xf>
    <xf numFmtId="166" fontId="50" fillId="0" borderId="71" applyAlignment="1" pivotButton="0" quotePrefix="0" xfId="1">
      <alignment wrapText="1"/>
    </xf>
    <xf numFmtId="166" fontId="73" fillId="0" borderId="71" applyAlignment="1" pivotButton="0" quotePrefix="0" xfId="1">
      <alignment wrapText="1"/>
    </xf>
    <xf numFmtId="166" fontId="104" fillId="0" borderId="71" applyAlignment="1" pivotButton="0" quotePrefix="0" xfId="1">
      <alignment wrapText="1"/>
    </xf>
    <xf numFmtId="166" fontId="104" fillId="0" borderId="44" applyAlignment="1" pivotButton="0" quotePrefix="0" xfId="1">
      <alignment wrapText="1"/>
    </xf>
    <xf numFmtId="166" fontId="83" fillId="20" borderId="25" applyAlignment="1" pivotButton="0" quotePrefix="0" xfId="1">
      <alignment wrapText="1"/>
    </xf>
    <xf numFmtId="166" fontId="59" fillId="0" borderId="29" applyAlignment="1" pivotButton="0" quotePrefix="0" xfId="1">
      <alignment wrapText="1"/>
    </xf>
    <xf numFmtId="166" fontId="17" fillId="0" borderId="51" applyAlignment="1" pivotButton="0" quotePrefix="0" xfId="1">
      <alignment wrapText="1"/>
    </xf>
    <xf numFmtId="166" fontId="17" fillId="0" borderId="29" applyAlignment="1" pivotButton="0" quotePrefix="0" xfId="1">
      <alignment wrapText="1"/>
    </xf>
    <xf numFmtId="166" fontId="50" fillId="0" borderId="29" applyAlignment="1" pivotButton="0" quotePrefix="0" xfId="1">
      <alignment wrapText="1"/>
    </xf>
    <xf numFmtId="166" fontId="35" fillId="0" borderId="29" applyAlignment="1" pivotButton="0" quotePrefix="0" xfId="1">
      <alignment wrapText="1"/>
    </xf>
    <xf numFmtId="166" fontId="73" fillId="0" borderId="29" applyAlignment="1" pivotButton="0" quotePrefix="0" xfId="1">
      <alignment wrapText="1"/>
    </xf>
    <xf numFmtId="166" fontId="104" fillId="0" borderId="29" applyAlignment="1" pivotButton="0" quotePrefix="0" xfId="1">
      <alignment wrapText="1"/>
    </xf>
    <xf numFmtId="166" fontId="104" fillId="0" borderId="52" applyAlignment="1" pivotButton="0" quotePrefix="0" xfId="1">
      <alignment wrapText="1"/>
    </xf>
    <xf numFmtId="166" fontId="83" fillId="0" borderId="0" applyAlignment="1" pivotButton="0" quotePrefix="0" xfId="1">
      <alignment wrapText="1"/>
    </xf>
    <xf numFmtId="166" fontId="85" fillId="0" borderId="37" applyAlignment="1" pivotButton="0" quotePrefix="0" xfId="1">
      <alignment horizontal="center" vertical="center" wrapText="1"/>
    </xf>
    <xf numFmtId="166" fontId="59" fillId="0" borderId="53" applyAlignment="1" pivotButton="0" quotePrefix="0" xfId="1">
      <alignment wrapText="1"/>
    </xf>
    <xf numFmtId="166" fontId="50" fillId="0" borderId="53" applyAlignment="1" pivotButton="0" quotePrefix="0" xfId="1">
      <alignment wrapText="1"/>
    </xf>
    <xf numFmtId="166" fontId="73" fillId="0" borderId="53" applyAlignment="1" pivotButton="0" quotePrefix="0" xfId="1">
      <alignment wrapText="1"/>
    </xf>
    <xf numFmtId="166" fontId="104" fillId="0" borderId="53" applyAlignment="1" pivotButton="0" quotePrefix="0" xfId="1">
      <alignment wrapText="1"/>
    </xf>
    <xf numFmtId="166" fontId="104" fillId="0" borderId="50" applyAlignment="1" pivotButton="0" quotePrefix="0" xfId="1">
      <alignment wrapText="1"/>
    </xf>
    <xf numFmtId="166" fontId="58" fillId="20" borderId="49" applyAlignment="1" pivotButton="0" quotePrefix="0" xfId="1">
      <alignment wrapText="1"/>
    </xf>
    <xf numFmtId="166" fontId="48" fillId="0" borderId="41" applyAlignment="1" pivotButton="0" quotePrefix="0" xfId="1">
      <alignment wrapText="1"/>
    </xf>
    <xf numFmtId="166" fontId="58" fillId="0" borderId="47" applyAlignment="1" pivotButton="0" quotePrefix="0" xfId="1">
      <alignment wrapText="1"/>
    </xf>
    <xf numFmtId="166" fontId="50" fillId="0" borderId="44" applyAlignment="1" pivotButton="0" quotePrefix="0" xfId="1">
      <alignment wrapText="1"/>
    </xf>
    <xf numFmtId="166" fontId="48" fillId="0" borderId="0" applyAlignment="1" pivotButton="0" quotePrefix="0" xfId="1">
      <alignment wrapText="1"/>
    </xf>
    <xf numFmtId="166" fontId="60" fillId="0" borderId="41" applyAlignment="1" pivotButton="0" quotePrefix="0" xfId="1">
      <alignment wrapText="1"/>
    </xf>
    <xf numFmtId="166" fontId="60" fillId="0" borderId="0" applyAlignment="1" pivotButton="0" quotePrefix="0" xfId="1">
      <alignment wrapText="1"/>
    </xf>
    <xf numFmtId="166" fontId="79" fillId="0" borderId="0" applyAlignment="1" pivotButton="0" quotePrefix="0" xfId="1">
      <alignment wrapText="1"/>
    </xf>
    <xf numFmtId="166" fontId="79" fillId="0" borderId="71" applyAlignment="1" pivotButton="0" quotePrefix="0" xfId="1">
      <alignment wrapText="1"/>
    </xf>
    <xf numFmtId="166" fontId="61" fillId="0" borderId="0" applyAlignment="1" pivotButton="0" quotePrefix="0" xfId="1">
      <alignment wrapText="1"/>
    </xf>
    <xf numFmtId="166" fontId="84" fillId="0" borderId="71" applyAlignment="1" pivotButton="0" quotePrefix="0" xfId="1">
      <alignment wrapText="1"/>
    </xf>
    <xf numFmtId="166" fontId="61" fillId="0" borderId="71" applyAlignment="1" pivotButton="0" quotePrefix="0" xfId="1">
      <alignment wrapText="1"/>
    </xf>
    <xf numFmtId="166" fontId="50" fillId="0" borderId="48" applyAlignment="1" pivotButton="0" quotePrefix="0" xfId="1">
      <alignment wrapText="1"/>
    </xf>
    <xf numFmtId="166" fontId="58" fillId="20" borderId="47" applyAlignment="1" pivotButton="0" quotePrefix="0" xfId="1">
      <alignment wrapText="1"/>
    </xf>
    <xf numFmtId="166" fontId="58" fillId="0" borderId="41" applyAlignment="1" pivotButton="0" quotePrefix="0" xfId="1">
      <alignment wrapText="1"/>
    </xf>
    <xf numFmtId="166" fontId="17" fillId="0" borderId="13" applyAlignment="1" pivotButton="0" quotePrefix="0" xfId="1">
      <alignment wrapText="1"/>
    </xf>
    <xf numFmtId="166" fontId="73" fillId="0" borderId="14" applyAlignment="1" pivotButton="0" quotePrefix="0" xfId="1">
      <alignment wrapText="1"/>
    </xf>
    <xf numFmtId="166" fontId="73" fillId="0" borderId="48" applyAlignment="1" pivotButton="0" quotePrefix="0" xfId="1">
      <alignment wrapText="1"/>
    </xf>
    <xf numFmtId="166" fontId="17" fillId="0" borderId="2" applyAlignment="1" pivotButton="0" quotePrefix="0" xfId="1">
      <alignment wrapText="1"/>
    </xf>
    <xf numFmtId="166" fontId="50" fillId="0" borderId="42" applyAlignment="1" pivotButton="0" quotePrefix="0" xfId="1">
      <alignment wrapText="1"/>
    </xf>
    <xf numFmtId="166" fontId="73" fillId="0" borderId="5" applyAlignment="1" pivotButton="0" quotePrefix="0" xfId="1">
      <alignment wrapText="1"/>
    </xf>
    <xf numFmtId="166" fontId="73" fillId="0" borderId="42" applyAlignment="1" pivotButton="0" quotePrefix="0" xfId="1">
      <alignment wrapText="1"/>
    </xf>
    <xf numFmtId="166" fontId="45" fillId="13" borderId="45" applyAlignment="1" pivotButton="0" quotePrefix="0" xfId="1">
      <alignment wrapText="1"/>
    </xf>
    <xf numFmtId="166" fontId="46" fillId="0" borderId="29" applyAlignment="1" pivotButton="0" quotePrefix="0" xfId="1">
      <alignment wrapText="1"/>
    </xf>
    <xf numFmtId="166" fontId="51" fillId="13" borderId="52" applyAlignment="1" pivotButton="0" quotePrefix="0" xfId="1">
      <alignment wrapText="1"/>
    </xf>
    <xf numFmtId="166" fontId="51" fillId="13" borderId="29" applyAlignment="1" pivotButton="0" quotePrefix="0" xfId="1">
      <alignment wrapText="1"/>
    </xf>
    <xf numFmtId="166" fontId="51" fillId="13" borderId="11" applyAlignment="1" pivotButton="0" quotePrefix="0" xfId="1">
      <alignment wrapText="1"/>
    </xf>
    <xf numFmtId="166" fontId="51" fillId="13" borderId="46" applyAlignment="1" pivotButton="0" quotePrefix="0" xfId="1">
      <alignment wrapText="1"/>
    </xf>
    <xf numFmtId="166" fontId="73" fillId="13" borderId="6" applyAlignment="1" pivotButton="0" quotePrefix="0" xfId="1">
      <alignment wrapText="1"/>
    </xf>
    <xf numFmtId="166" fontId="73" fillId="13" borderId="46" applyAlignment="1" pivotButton="0" quotePrefix="0" xfId="1">
      <alignment wrapText="1"/>
    </xf>
    <xf numFmtId="166" fontId="49" fillId="0" borderId="0" applyAlignment="1" pivotButton="0" quotePrefix="0" xfId="1">
      <alignment wrapText="1"/>
    </xf>
    <xf numFmtId="166" fontId="52" fillId="0" borderId="0" applyAlignment="1" pivotButton="0" quotePrefix="0" xfId="1">
      <alignment wrapText="1"/>
    </xf>
    <xf numFmtId="166" fontId="52" fillId="0" borderId="71" applyAlignment="1" pivotButton="0" quotePrefix="0" xfId="1">
      <alignment wrapText="1"/>
    </xf>
    <xf numFmtId="166" fontId="53" fillId="0" borderId="0" applyAlignment="1" pivotButton="0" quotePrefix="0" xfId="1">
      <alignment wrapText="1"/>
    </xf>
    <xf numFmtId="166" fontId="54" fillId="12" borderId="51" applyAlignment="1" pivotButton="0" quotePrefix="0" xfId="1">
      <alignment horizontal="center" vertical="center" wrapText="1"/>
    </xf>
    <xf numFmtId="166" fontId="56" fillId="12" borderId="0" applyAlignment="1" pivotButton="0" quotePrefix="0" xfId="1">
      <alignment horizontal="center" vertical="center" wrapText="1"/>
    </xf>
    <xf numFmtId="166" fontId="56" fillId="12" borderId="68" applyAlignment="1" pivotButton="0" quotePrefix="0" xfId="1">
      <alignment horizontal="center" vertical="center" wrapText="1"/>
    </xf>
    <xf numFmtId="166" fontId="56" fillId="12" borderId="13" applyAlignment="1" pivotButton="0" quotePrefix="0" xfId="1">
      <alignment horizontal="center" vertical="center" wrapText="1"/>
    </xf>
    <xf numFmtId="166" fontId="57" fillId="12" borderId="44" applyAlignment="1" pivotButton="0" quotePrefix="0" xfId="1">
      <alignment horizontal="center" vertical="center" wrapText="1"/>
    </xf>
    <xf numFmtId="166" fontId="57" fillId="12" borderId="22" applyAlignment="1" pivotButton="0" quotePrefix="0" xfId="1">
      <alignment horizontal="center" vertical="center" wrapText="1"/>
    </xf>
    <xf numFmtId="166" fontId="59" fillId="0" borderId="41" applyAlignment="1" pivotButton="0" quotePrefix="0" xfId="1">
      <alignment wrapText="1"/>
    </xf>
    <xf numFmtId="166" fontId="50" fillId="0" borderId="2" applyAlignment="1" pivotButton="0" quotePrefix="0" xfId="1">
      <alignment wrapText="1"/>
    </xf>
    <xf numFmtId="166" fontId="50" fillId="0" borderId="9" applyAlignment="1" pivotButton="0" quotePrefix="0" xfId="1">
      <alignment wrapText="1"/>
    </xf>
    <xf numFmtId="166" fontId="50" fillId="0" borderId="64" applyAlignment="1" pivotButton="0" quotePrefix="0" xfId="1">
      <alignment wrapText="1"/>
    </xf>
    <xf numFmtId="166" fontId="35" fillId="0" borderId="31" pivotButton="0" quotePrefix="0" xfId="1"/>
    <xf numFmtId="166" fontId="59" fillId="0" borderId="47" applyAlignment="1" pivotButton="0" quotePrefix="0" xfId="1">
      <alignment wrapText="1"/>
    </xf>
    <xf numFmtId="166" fontId="53" fillId="0" borderId="44" applyAlignment="1" pivotButton="0" quotePrefix="0" xfId="1">
      <alignment wrapText="1"/>
    </xf>
    <xf numFmtId="166" fontId="50" fillId="0" borderId="31" applyAlignment="1" pivotButton="0" quotePrefix="0" xfId="1">
      <alignment wrapText="1"/>
    </xf>
    <xf numFmtId="166" fontId="59" fillId="0" borderId="43" applyAlignment="1" pivotButton="0" quotePrefix="0" xfId="1">
      <alignment wrapText="1"/>
    </xf>
    <xf numFmtId="166" fontId="46" fillId="0" borderId="0" applyAlignment="1" pivotButton="0" quotePrefix="0" xfId="1">
      <alignment wrapText="1"/>
    </xf>
    <xf numFmtId="166" fontId="62" fillId="0" borderId="0" applyAlignment="1" pivotButton="0" quotePrefix="0" xfId="1">
      <alignment wrapText="1"/>
    </xf>
    <xf numFmtId="166" fontId="62" fillId="0" borderId="2" applyAlignment="1" pivotButton="0" quotePrefix="0" xfId="1">
      <alignment wrapText="1"/>
    </xf>
    <xf numFmtId="166" fontId="62" fillId="0" borderId="44" applyAlignment="1" pivotButton="0" quotePrefix="0" xfId="1">
      <alignment wrapText="1"/>
    </xf>
    <xf numFmtId="166" fontId="62" fillId="0" borderId="9" applyAlignment="1" pivotButton="0" quotePrefix="0" xfId="1">
      <alignment wrapText="1"/>
    </xf>
    <xf numFmtId="166" fontId="62" fillId="0" borderId="64" applyAlignment="1" pivotButton="0" quotePrefix="0" xfId="1">
      <alignment wrapText="1"/>
    </xf>
    <xf numFmtId="166" fontId="60" fillId="0" borderId="39" applyAlignment="1" pivotButton="0" quotePrefix="0" xfId="1">
      <alignment wrapText="1"/>
    </xf>
    <xf numFmtId="166" fontId="61" fillId="13" borderId="27" applyAlignment="1" pivotButton="0" quotePrefix="0" xfId="1">
      <alignment wrapText="1"/>
    </xf>
    <xf numFmtId="166" fontId="63" fillId="13" borderId="0" applyAlignment="1" pivotButton="0" quotePrefix="0" xfId="1">
      <alignment wrapText="1"/>
    </xf>
    <xf numFmtId="166" fontId="63" fillId="13" borderId="2" applyAlignment="1" pivotButton="0" quotePrefix="0" xfId="1">
      <alignment wrapText="1"/>
    </xf>
    <xf numFmtId="166" fontId="35" fillId="0" borderId="64" pivotButton="0" quotePrefix="0" xfId="1"/>
    <xf numFmtId="166" fontId="62" fillId="13" borderId="0" applyAlignment="1" pivotButton="0" quotePrefix="0" xfId="1">
      <alignment wrapText="1"/>
    </xf>
    <xf numFmtId="166" fontId="35" fillId="0" borderId="9" pivotButton="0" quotePrefix="0" xfId="1"/>
    <xf numFmtId="166" fontId="50" fillId="7" borderId="31" applyAlignment="1" pivotButton="0" quotePrefix="0" xfId="1">
      <alignment wrapText="1"/>
    </xf>
    <xf numFmtId="166" fontId="45" fillId="13" borderId="51" applyAlignment="1" pivotButton="0" quotePrefix="0" xfId="1">
      <alignment wrapText="1"/>
    </xf>
    <xf numFmtId="166" fontId="51" fillId="0" borderId="2" applyAlignment="1" pivotButton="0" quotePrefix="0" xfId="1">
      <alignment wrapText="1"/>
    </xf>
    <xf numFmtId="166" fontId="51" fillId="0" borderId="25" applyAlignment="1" pivotButton="0" quotePrefix="0" xfId="1">
      <alignment wrapText="1"/>
    </xf>
    <xf numFmtId="166" fontId="51" fillId="0" borderId="52" applyAlignment="1" pivotButton="0" quotePrefix="0" xfId="1">
      <alignment wrapText="1"/>
    </xf>
    <xf numFmtId="166" fontId="48" fillId="0" borderId="49" applyAlignment="1" pivotButton="0" quotePrefix="0" xfId="1">
      <alignment wrapText="1"/>
    </xf>
    <xf numFmtId="166" fontId="51" fillId="0" borderId="50" applyAlignment="1" pivotButton="0" quotePrefix="0" xfId="1">
      <alignment wrapText="1"/>
    </xf>
    <xf numFmtId="166" fontId="64" fillId="0" borderId="15" applyAlignment="1" pivotButton="0" quotePrefix="0" xfId="1">
      <alignment wrapText="1"/>
    </xf>
    <xf numFmtId="166" fontId="64" fillId="0" borderId="50" applyAlignment="1" pivotButton="0" quotePrefix="0" xfId="1">
      <alignment wrapText="1"/>
    </xf>
    <xf numFmtId="166" fontId="64" fillId="0" borderId="75" applyAlignment="1" pivotButton="0" quotePrefix="0" xfId="1">
      <alignment wrapText="1"/>
    </xf>
    <xf numFmtId="166" fontId="62" fillId="0" borderId="17" applyAlignment="1" pivotButton="0" quotePrefix="0" xfId="1">
      <alignment wrapText="1"/>
    </xf>
    <xf numFmtId="166" fontId="45" fillId="0" borderId="0" applyAlignment="1" pivotButton="0" quotePrefix="0" xfId="1">
      <alignment wrapText="1"/>
    </xf>
    <xf numFmtId="166" fontId="51" fillId="0" borderId="0" applyAlignment="1" pivotButton="0" quotePrefix="0" xfId="1">
      <alignment wrapText="1"/>
    </xf>
    <xf numFmtId="166" fontId="54" fillId="12" borderId="49" applyAlignment="1" pivotButton="0" quotePrefix="0" xfId="1">
      <alignment horizontal="center" vertical="center" wrapText="1"/>
    </xf>
    <xf numFmtId="166" fontId="56" fillId="12" borderId="49" applyAlignment="1" pivotButton="0" quotePrefix="0" xfId="0">
      <alignment horizontal="center" vertical="center" wrapText="1"/>
    </xf>
    <xf numFmtId="166" fontId="56" fillId="12" borderId="2" applyAlignment="1" pivotButton="0" quotePrefix="0" xfId="1">
      <alignment horizontal="center" vertical="center" wrapText="1"/>
    </xf>
    <xf numFmtId="166" fontId="56" fillId="12" borderId="50" applyAlignment="1" pivotButton="0" quotePrefix="0" xfId="1">
      <alignment horizontal="center" vertical="center" wrapText="1"/>
    </xf>
    <xf numFmtId="166" fontId="65" fillId="0" borderId="66" applyAlignment="1" pivotButton="0" quotePrefix="0" xfId="1">
      <alignment wrapText="1"/>
    </xf>
    <xf numFmtId="166" fontId="61" fillId="0" borderId="57" applyAlignment="1" pivotButton="0" quotePrefix="0" xfId="1">
      <alignment wrapText="1"/>
    </xf>
    <xf numFmtId="166" fontId="61" fillId="14" borderId="2" applyAlignment="1" pivotButton="0" quotePrefix="0" xfId="1">
      <alignment wrapText="1"/>
    </xf>
    <xf numFmtId="166" fontId="61" fillId="0" borderId="56" applyAlignment="1" pivotButton="0" quotePrefix="0" xfId="1">
      <alignment wrapText="1"/>
    </xf>
    <xf numFmtId="166" fontId="65" fillId="0" borderId="55" applyAlignment="1" pivotButton="0" quotePrefix="0" xfId="1">
      <alignment wrapText="1"/>
    </xf>
    <xf numFmtId="166" fontId="61" fillId="0" borderId="2" applyAlignment="1" pivotButton="0" quotePrefix="0" xfId="1">
      <alignment wrapText="1"/>
    </xf>
    <xf numFmtId="166" fontId="66" fillId="13" borderId="49" applyAlignment="1" pivotButton="0" quotePrefix="0" xfId="1">
      <alignment wrapText="1"/>
    </xf>
    <xf numFmtId="166" fontId="68" fillId="13" borderId="53" applyAlignment="1" pivotButton="0" quotePrefix="0" xfId="1">
      <alignment wrapText="1"/>
    </xf>
    <xf numFmtId="166" fontId="68" fillId="13" borderId="49" applyAlignment="1" pivotButton="0" quotePrefix="0" xfId="1">
      <alignment wrapText="1"/>
    </xf>
    <xf numFmtId="166" fontId="68" fillId="13" borderId="2" applyAlignment="1" pivotButton="0" quotePrefix="0" xfId="1">
      <alignment wrapText="1"/>
    </xf>
    <xf numFmtId="166" fontId="68" fillId="13" borderId="50" applyAlignment="1" pivotButton="0" quotePrefix="0" xfId="1">
      <alignment wrapText="1"/>
    </xf>
    <xf numFmtId="166" fontId="47" fillId="0" borderId="0" applyAlignment="1" pivotButton="0" quotePrefix="0" xfId="1">
      <alignment wrapText="1"/>
    </xf>
    <xf numFmtId="166" fontId="58" fillId="0" borderId="43" applyAlignment="1" pivotButton="0" quotePrefix="0" xfId="1">
      <alignment wrapText="1"/>
    </xf>
    <xf numFmtId="166" fontId="70" fillId="0" borderId="0" applyAlignment="1" pivotButton="0" quotePrefix="0" xfId="1">
      <alignment wrapText="1"/>
    </xf>
    <xf numFmtId="166" fontId="70" fillId="0" borderId="2" applyAlignment="1" pivotButton="0" quotePrefix="0" xfId="1">
      <alignment wrapText="1"/>
    </xf>
    <xf numFmtId="166" fontId="61" fillId="0" borderId="44" applyAlignment="1" pivotButton="0" quotePrefix="0" xfId="1">
      <alignment wrapText="1"/>
    </xf>
    <xf numFmtId="166" fontId="47" fillId="0" borderId="71" applyAlignment="1" pivotButton="0" quotePrefix="0" xfId="1">
      <alignment wrapText="1"/>
    </xf>
    <xf numFmtId="166" fontId="71" fillId="0" borderId="45" applyAlignment="1" pivotButton="0" quotePrefix="0" xfId="1">
      <alignment wrapText="1"/>
    </xf>
    <xf numFmtId="166" fontId="73" fillId="0" borderId="51" applyAlignment="1" pivotButton="0" quotePrefix="0" xfId="1">
      <alignment wrapText="1"/>
    </xf>
    <xf numFmtId="166" fontId="73" fillId="0" borderId="2" applyAlignment="1" pivotButton="0" quotePrefix="0" xfId="1">
      <alignment wrapText="1"/>
    </xf>
    <xf numFmtId="166" fontId="73" fillId="0" borderId="49" applyAlignment="1" pivotButton="0" quotePrefix="0" xfId="1">
      <alignment wrapText="1"/>
    </xf>
    <xf numFmtId="166" fontId="58" fillId="0" borderId="55" applyAlignment="1" pivotButton="0" quotePrefix="0" xfId="1">
      <alignment wrapText="1"/>
    </xf>
    <xf numFmtId="166" fontId="70" fillId="0" borderId="71" applyAlignment="1" pivotButton="0" quotePrefix="0" xfId="1">
      <alignment wrapText="1"/>
    </xf>
    <xf numFmtId="166" fontId="70" fillId="0" borderId="44" applyAlignment="1" pivotButton="0" quotePrefix="0" xfId="1">
      <alignment wrapText="1"/>
    </xf>
    <xf numFmtId="166" fontId="34" fillId="0" borderId="0" applyAlignment="1" pivotButton="0" quotePrefix="0" xfId="1">
      <alignment wrapText="1"/>
    </xf>
    <xf numFmtId="166" fontId="58" fillId="0" borderId="45" applyAlignment="1" pivotButton="0" quotePrefix="0" xfId="1">
      <alignment wrapText="1"/>
    </xf>
    <xf numFmtId="166" fontId="51" fillId="0" borderId="29" applyAlignment="1" pivotButton="0" quotePrefix="0" xfId="1">
      <alignment wrapText="1"/>
    </xf>
    <xf numFmtId="166" fontId="50" fillId="0" borderId="52" applyAlignment="1" pivotButton="0" quotePrefix="0" xfId="1">
      <alignment wrapText="1"/>
    </xf>
    <xf numFmtId="166" fontId="74" fillId="0" borderId="0" applyAlignment="1" pivotButton="0" quotePrefix="0" xfId="1">
      <alignment wrapText="1"/>
    </xf>
    <xf numFmtId="166" fontId="75" fillId="0" borderId="45" applyAlignment="1" pivotButton="0" quotePrefix="0" xfId="1">
      <alignment wrapText="1"/>
    </xf>
    <xf numFmtId="166" fontId="76" fillId="0" borderId="0" applyAlignment="1" pivotButton="0" quotePrefix="0" xfId="1">
      <alignment wrapText="1"/>
    </xf>
    <xf numFmtId="166" fontId="63" fillId="0" borderId="53" applyAlignment="1" pivotButton="0" quotePrefix="0" xfId="1">
      <alignment wrapText="1"/>
    </xf>
    <xf numFmtId="166" fontId="63" fillId="0" borderId="49" applyAlignment="1" pivotButton="0" quotePrefix="0" xfId="1">
      <alignment wrapText="1"/>
    </xf>
    <xf numFmtId="166" fontId="77" fillId="0" borderId="49" applyAlignment="1" pivotButton="0" quotePrefix="0" xfId="1">
      <alignment wrapText="1"/>
    </xf>
    <xf numFmtId="166" fontId="77" fillId="0" borderId="37" applyAlignment="1" pivotButton="0" quotePrefix="0" xfId="1">
      <alignment wrapText="1"/>
    </xf>
    <xf numFmtId="166" fontId="78" fillId="0" borderId="0" applyAlignment="1" pivotButton="0" quotePrefix="0" xfId="1">
      <alignment wrapText="1"/>
    </xf>
    <xf numFmtId="166" fontId="98" fillId="17" borderId="29" applyAlignment="1" pivotButton="0" quotePrefix="0" xfId="1">
      <alignment horizontal="center" vertical="center" wrapText="1"/>
    </xf>
    <xf numFmtId="0" fontId="0" fillId="0" borderId="29" pivotButton="0" quotePrefix="0" xfId="0"/>
    <xf numFmtId="166" fontId="35" fillId="17" borderId="0" applyAlignment="1" pivotButton="0" quotePrefix="0" xfId="1">
      <alignment wrapText="1"/>
    </xf>
    <xf numFmtId="166" fontId="35" fillId="17" borderId="71" applyAlignment="1" pivotButton="0" quotePrefix="0" xfId="1">
      <alignment wrapText="1"/>
    </xf>
    <xf numFmtId="0" fontId="0" fillId="0" borderId="33" pivotButton="0" quotePrefix="0" xfId="0"/>
    <xf numFmtId="166" fontId="95" fillId="17" borderId="7" applyAlignment="1" pivotButton="0" quotePrefix="0" xfId="1">
      <alignment horizontal="center" vertical="center" wrapText="1"/>
    </xf>
    <xf numFmtId="166" fontId="92" fillId="17" borderId="8" applyAlignment="1" pivotButton="0" quotePrefix="0" xfId="1">
      <alignment horizontal="center" vertical="center" wrapText="1"/>
    </xf>
    <xf numFmtId="166" fontId="35" fillId="0" borderId="0" applyAlignment="1" pivotButton="0" quotePrefix="0" xfId="1">
      <alignment horizontal="center" vertical="center" wrapText="1"/>
    </xf>
    <xf numFmtId="166" fontId="96" fillId="17" borderId="9" applyAlignment="1" pivotButton="0" quotePrefix="0" xfId="1">
      <alignment horizontal="center" vertical="center" wrapText="1"/>
    </xf>
    <xf numFmtId="166" fontId="97" fillId="17" borderId="2" applyAlignment="1" pivotButton="0" quotePrefix="0" xfId="1">
      <alignment horizontal="center" vertical="center" wrapText="1"/>
    </xf>
    <xf numFmtId="166" fontId="96" fillId="17" borderId="2" applyAlignment="1" pivotButton="0" quotePrefix="0" xfId="1">
      <alignment horizontal="center" vertical="center" wrapText="1"/>
    </xf>
    <xf numFmtId="166" fontId="96" fillId="17" borderId="64" applyAlignment="1" pivotButton="0" quotePrefix="0" xfId="1">
      <alignment horizontal="center" vertical="center" wrapText="1"/>
    </xf>
    <xf numFmtId="166" fontId="35" fillId="17" borderId="0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center" vertical="center" wrapText="1"/>
    </xf>
    <xf numFmtId="166" fontId="88" fillId="17" borderId="9" applyAlignment="1" pivotButton="0" quotePrefix="0" xfId="1">
      <alignment horizontal="left" vertical="center" wrapText="1"/>
    </xf>
    <xf numFmtId="166" fontId="88" fillId="17" borderId="2" applyAlignment="1" pivotButton="0" quotePrefix="0" xfId="1">
      <alignment horizontal="center" vertical="center" wrapText="1"/>
    </xf>
    <xf numFmtId="166" fontId="88" fillId="17" borderId="64" applyAlignment="1" pivotButton="0" quotePrefix="0" xfId="1">
      <alignment horizontal="center" vertical="center" wrapText="1"/>
    </xf>
    <xf numFmtId="166" fontId="89" fillId="0" borderId="71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center" vertical="center" wrapText="1"/>
    </xf>
    <xf numFmtId="166" fontId="35" fillId="17" borderId="2" applyAlignment="1" pivotButton="0" quotePrefix="0" xfId="1">
      <alignment horizontal="center" vertical="center" wrapText="1"/>
    </xf>
    <xf numFmtId="166" fontId="35" fillId="17" borderId="64" applyAlignment="1" pivotButton="0" quotePrefix="0" xfId="1">
      <alignment horizontal="center" vertical="center" wrapText="1"/>
    </xf>
    <xf numFmtId="166" fontId="89" fillId="17" borderId="2" applyAlignment="1" pivotButton="0" quotePrefix="0" xfId="1">
      <alignment horizontal="center" vertical="center" wrapText="1"/>
    </xf>
    <xf numFmtId="166" fontId="87" fillId="17" borderId="2" applyAlignment="1" pivotButton="0" quotePrefix="0" xfId="1">
      <alignment horizontal="center" vertical="center" wrapText="1"/>
    </xf>
    <xf numFmtId="166" fontId="87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left" vertical="center" wrapText="1"/>
    </xf>
    <xf numFmtId="166" fontId="86" fillId="17" borderId="2" applyAlignment="1" pivotButton="0" quotePrefix="0" xfId="1">
      <alignment vertical="center" wrapText="1"/>
    </xf>
    <xf numFmtId="166" fontId="86" fillId="17" borderId="64" applyAlignment="1" pivotButton="0" quotePrefix="0" xfId="1">
      <alignment vertical="center" wrapText="1"/>
    </xf>
    <xf numFmtId="166" fontId="105" fillId="17" borderId="2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center" vertical="center" wrapText="1"/>
    </xf>
    <xf numFmtId="166" fontId="88" fillId="17" borderId="10" applyAlignment="1" pivotButton="0" quotePrefix="0" xfId="1">
      <alignment horizontal="left" vertical="center" wrapText="1"/>
    </xf>
    <xf numFmtId="166" fontId="88" fillId="17" borderId="11" applyAlignment="1" pivotButton="0" quotePrefix="0" xfId="1">
      <alignment horizontal="center" vertical="center" wrapText="1"/>
    </xf>
    <xf numFmtId="166" fontId="89" fillId="17" borderId="11" applyAlignment="1" pivotButton="0" quotePrefix="0" xfId="1">
      <alignment horizontal="center" vertical="center" wrapText="1"/>
    </xf>
    <xf numFmtId="166" fontId="86" fillId="17" borderId="11" applyAlignment="1" pivotButton="0" quotePrefix="0" xfId="1">
      <alignment vertical="center" wrapText="1"/>
    </xf>
    <xf numFmtId="166" fontId="86" fillId="17" borderId="73" applyAlignment="1" pivotButton="0" quotePrefix="0" xfId="1">
      <alignment vertical="center" wrapText="1"/>
    </xf>
    <xf numFmtId="166" fontId="88" fillId="17" borderId="71" applyAlignment="1" pivotButton="0" quotePrefix="0" xfId="1">
      <alignment horizontal="center" vertical="center" wrapText="1"/>
    </xf>
    <xf numFmtId="166" fontId="105" fillId="17" borderId="11" applyAlignment="1" pivotButton="0" quotePrefix="0" xfId="1">
      <alignment horizontal="center" vertical="center" wrapText="1"/>
    </xf>
    <xf numFmtId="166" fontId="88" fillId="17" borderId="71" applyAlignment="1" pivotButton="0" quotePrefix="0" xfId="1">
      <alignment horizontal="left" vertical="center" wrapText="1"/>
    </xf>
    <xf numFmtId="166" fontId="89" fillId="17" borderId="71" applyAlignment="1" pivotButton="0" quotePrefix="0" xfId="1">
      <alignment horizontal="center" vertical="center" wrapText="1"/>
    </xf>
    <xf numFmtId="166" fontId="86" fillId="17" borderId="71" applyAlignment="1" pivotButton="0" quotePrefix="0" xfId="1">
      <alignment vertical="center" wrapText="1"/>
    </xf>
    <xf numFmtId="166" fontId="92" fillId="17" borderId="72" applyAlignment="1" pivotButton="0" quotePrefix="0" xfId="1">
      <alignment horizontal="center" vertical="center" wrapText="1"/>
    </xf>
    <xf numFmtId="0" fontId="0" fillId="0" borderId="28" pivotButton="0" quotePrefix="0" xfId="0"/>
    <xf numFmtId="0" fontId="0" fillId="0" borderId="61" pivotButton="0" quotePrefix="0" xfId="0"/>
    <xf numFmtId="166" fontId="90" fillId="17" borderId="49" applyAlignment="1" pivotButton="0" quotePrefix="0" xfId="1">
      <alignment horizontal="center" vertical="center" wrapText="1"/>
    </xf>
    <xf numFmtId="166" fontId="92" fillId="17" borderId="53" applyAlignment="1" pivotButton="0" quotePrefix="0" xfId="1">
      <alignment horizontal="center" vertical="center" wrapText="1"/>
    </xf>
    <xf numFmtId="166" fontId="92" fillId="17" borderId="50" applyAlignment="1" pivotButton="0" quotePrefix="0" xfId="1">
      <alignment horizontal="center" vertical="center" wrapText="1"/>
    </xf>
    <xf numFmtId="166" fontId="91" fillId="17" borderId="43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left" vertical="center" wrapText="1"/>
    </xf>
    <xf numFmtId="166" fontId="35" fillId="17" borderId="44" applyAlignment="1" pivotButton="0" quotePrefix="0" xfId="1">
      <alignment horizontal="center" vertical="center" wrapText="1"/>
    </xf>
    <xf numFmtId="166" fontId="89" fillId="17" borderId="64" applyAlignment="1" pivotButton="0" quotePrefix="0" xfId="1">
      <alignment horizontal="center" vertical="center" wrapText="1"/>
    </xf>
    <xf numFmtId="166" fontId="91" fillId="17" borderId="51" applyAlignment="1" pivotButton="0" quotePrefix="0" xfId="1">
      <alignment horizontal="center" vertical="center" wrapText="1"/>
    </xf>
    <xf numFmtId="166" fontId="35" fillId="17" borderId="29" applyAlignment="1" pivotButton="0" quotePrefix="0" xfId="1">
      <alignment horizontal="left" vertical="center" wrapText="1"/>
    </xf>
    <xf numFmtId="166" fontId="35" fillId="17" borderId="29" applyAlignment="1" pivotButton="0" quotePrefix="0" xfId="1">
      <alignment horizontal="center" vertical="center" wrapText="1"/>
    </xf>
    <xf numFmtId="166" fontId="35" fillId="17" borderId="52" applyAlignment="1" pivotButton="0" quotePrefix="0" xfId="1">
      <alignment horizontal="center" vertical="center" wrapText="1"/>
    </xf>
    <xf numFmtId="166" fontId="88" fillId="17" borderId="73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left" vertical="center" wrapText="1"/>
    </xf>
    <xf numFmtId="166" fontId="115" fillId="20" borderId="29" applyAlignment="1" pivotButton="0" quotePrefix="0" xfId="1">
      <alignment horizontal="center" vertical="center" wrapText="1"/>
    </xf>
    <xf numFmtId="166" fontId="119" fillId="20" borderId="2" applyAlignment="1" pivotButton="0" quotePrefix="0" xfId="0">
      <alignment horizontal="center" vertical="center" wrapText="1"/>
    </xf>
    <xf numFmtId="166" fontId="119" fillId="20" borderId="2" applyAlignment="1" pivotButton="0" quotePrefix="0" xfId="0">
      <alignment vertical="center" wrapText="1"/>
    </xf>
    <xf numFmtId="166" fontId="113" fillId="21" borderId="2" applyAlignment="1" pivotButton="0" quotePrefix="0" xfId="1">
      <alignment horizontal="left" vertical="center" wrapText="1"/>
    </xf>
    <xf numFmtId="166" fontId="113" fillId="21" borderId="2" applyAlignment="1" pivotButton="0" quotePrefix="0" xfId="1">
      <alignment vertical="center" wrapText="1"/>
    </xf>
    <xf numFmtId="166" fontId="111" fillId="20" borderId="29" applyAlignment="1" pivotButton="0" quotePrefix="0" xfId="1">
      <alignment horizontal="center" vertical="center" wrapText="1"/>
    </xf>
    <xf numFmtId="166" fontId="88" fillId="20" borderId="71" applyAlignment="1" pivotButton="0" quotePrefix="0" xfId="1">
      <alignment horizontal="center" vertical="center" wrapText="1"/>
    </xf>
    <xf numFmtId="166" fontId="35" fillId="0" borderId="71" applyAlignment="1" pivotButton="0" quotePrefix="0" xfId="1">
      <alignment horizontal="center" vertical="center" wrapText="1"/>
    </xf>
    <xf numFmtId="166" fontId="113" fillId="20" borderId="2" applyAlignment="1" pivotButton="0" quotePrefix="0" xfId="1">
      <alignment horizontal="center" vertical="top" wrapText="1"/>
    </xf>
    <xf numFmtId="166" fontId="114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center" wrapText="1"/>
    </xf>
    <xf numFmtId="166" fontId="120" fillId="23" borderId="51" applyAlignment="1" pivotButton="0" quotePrefix="0" xfId="1">
      <alignment horizontal="center" vertical="center" wrapText="1"/>
    </xf>
    <xf numFmtId="166" fontId="124" fillId="23" borderId="22" applyAlignment="1" pivotButton="0" quotePrefix="0" xfId="1">
      <alignment horizontal="center" vertical="center" wrapText="1"/>
    </xf>
    <xf numFmtId="166" fontId="123" fillId="23" borderId="49" applyAlignment="1" pivotButton="0" quotePrefix="0" xfId="1">
      <alignment horizontal="center" vertical="center" wrapText="1"/>
    </xf>
    <xf numFmtId="166" fontId="125" fillId="23" borderId="29" applyAlignment="1" pivotButton="0" quotePrefix="0" xfId="1">
      <alignment horizontal="center" vertical="center" wrapText="1"/>
    </xf>
    <xf numFmtId="166" fontId="35" fillId="23" borderId="54" applyAlignment="1" pivotButton="0" quotePrefix="0" xfId="1">
      <alignment horizontal="center" vertical="center" wrapText="1"/>
    </xf>
    <xf numFmtId="166" fontId="123" fillId="23" borderId="43" applyAlignment="1" pivotButton="0" quotePrefix="0" xfId="1">
      <alignment horizontal="center" vertical="center" wrapText="1"/>
    </xf>
    <xf numFmtId="167" fontId="122" fillId="23" borderId="54" applyAlignment="1" pivotButton="0" quotePrefix="0" xfId="1">
      <alignment horizontal="center" vertical="center" wrapText="1"/>
    </xf>
    <xf numFmtId="166" fontId="122" fillId="23" borderId="47" applyAlignment="1" pivotButton="0" quotePrefix="0" xfId="1">
      <alignment horizontal="center" vertical="center" wrapText="1"/>
    </xf>
    <xf numFmtId="3" fontId="122" fillId="36" borderId="1" applyAlignment="1" pivotButton="0" quotePrefix="0" xfId="1">
      <alignment horizontal="right" vertical="center" wrapText="1"/>
    </xf>
    <xf numFmtId="167" fontId="122" fillId="23" borderId="14" applyAlignment="1" pivotButton="0" quotePrefix="0" xfId="1">
      <alignment horizontal="center" vertical="center" wrapText="1"/>
    </xf>
    <xf numFmtId="166" fontId="111" fillId="20" borderId="53" applyAlignment="1" pivotButton="0" quotePrefix="0" xfId="1">
      <alignment horizontal="center" vertical="center" wrapText="1"/>
    </xf>
    <xf numFmtId="165" fontId="14" fillId="3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165" fontId="6" fillId="0" borderId="39" applyAlignment="1" pivotButton="0" quotePrefix="0" xfId="0">
      <alignment vertical="center"/>
    </xf>
    <xf numFmtId="165" fontId="6" fillId="17" borderId="2" applyAlignment="1" pivotButton="0" quotePrefix="0" xfId="0">
      <alignment vertical="center"/>
    </xf>
    <xf numFmtId="165" fontId="6" fillId="17" borderId="36" applyAlignment="1" pivotButton="0" quotePrefix="0" xfId="0">
      <alignment vertical="center"/>
    </xf>
    <xf numFmtId="165" fontId="6" fillId="17" borderId="42" applyAlignment="1" pivotButton="0" quotePrefix="0" xfId="0">
      <alignment vertical="center"/>
    </xf>
    <xf numFmtId="165" fontId="14" fillId="3" borderId="3" applyAlignment="1" pivotButton="0" quotePrefix="0" xfId="0">
      <alignment vertical="center"/>
    </xf>
    <xf numFmtId="165" fontId="6" fillId="0" borderId="27" applyAlignment="1" pivotButton="0" quotePrefix="0" xfId="0">
      <alignment vertical="center"/>
    </xf>
    <xf numFmtId="165" fontId="6" fillId="17" borderId="11" applyAlignment="1" pivotButton="0" quotePrefix="0" xfId="0">
      <alignment vertical="center"/>
    </xf>
    <xf numFmtId="165" fontId="6" fillId="17" borderId="27" applyAlignment="1" pivotButton="0" quotePrefix="0" xfId="0">
      <alignment vertical="center"/>
    </xf>
    <xf numFmtId="165" fontId="6" fillId="17" borderId="60" applyAlignment="1" pivotButton="0" quotePrefix="0" xfId="0">
      <alignment vertical="center"/>
    </xf>
    <xf numFmtId="166" fontId="26" fillId="8" borderId="15" applyAlignment="1" pivotButton="0" quotePrefix="0" xfId="0">
      <alignment vertical="center"/>
    </xf>
    <xf numFmtId="166" fontId="26" fillId="8" borderId="16" applyAlignment="1" pivotButton="0" quotePrefix="0" xfId="0">
      <alignment vertical="center"/>
    </xf>
    <xf numFmtId="166" fontId="26" fillId="8" borderId="26" applyAlignment="1" pivotButton="0" quotePrefix="0" xfId="0">
      <alignment vertical="center"/>
    </xf>
    <xf numFmtId="166" fontId="26" fillId="8" borderId="37" applyAlignment="1" pivotButton="0" quotePrefix="0" xfId="0">
      <alignment vertical="center"/>
    </xf>
    <xf numFmtId="166" fontId="19" fillId="8" borderId="12" applyAlignment="1" pivotButton="0" quotePrefix="0" xfId="0">
      <alignment vertical="center"/>
    </xf>
    <xf numFmtId="166" fontId="19" fillId="8" borderId="13" applyAlignment="1" pivotButton="0" quotePrefix="0" xfId="0">
      <alignment vertical="center"/>
    </xf>
    <xf numFmtId="166" fontId="19" fillId="8" borderId="38" applyAlignment="1" pivotButton="0" quotePrefix="0" xfId="0">
      <alignment vertical="center"/>
    </xf>
    <xf numFmtId="166" fontId="26" fillId="8" borderId="14" applyAlignment="1" pivotButton="0" quotePrefix="0" xfId="0">
      <alignment vertical="center"/>
    </xf>
    <xf numFmtId="166" fontId="19" fillId="8" borderId="0" applyAlignment="1" pivotButton="0" quotePrefix="0" xfId="0">
      <alignment vertical="center"/>
    </xf>
    <xf numFmtId="165" fontId="6" fillId="0" borderId="36" applyAlignment="1" pivotButton="0" quotePrefix="0" xfId="0">
      <alignment vertical="center"/>
    </xf>
    <xf numFmtId="165" fontId="6" fillId="0" borderId="42" applyAlignment="1" pivotButton="0" quotePrefix="0" xfId="0">
      <alignment vertical="center"/>
    </xf>
    <xf numFmtId="166" fontId="19" fillId="8" borderId="9" applyAlignment="1" pivotButton="0" quotePrefix="0" xfId="0">
      <alignment vertical="center"/>
    </xf>
    <xf numFmtId="166" fontId="19" fillId="8" borderId="2" applyAlignment="1" pivotButton="0" quotePrefix="0" xfId="0">
      <alignment vertical="center"/>
    </xf>
    <xf numFmtId="166" fontId="19" fillId="8" borderId="39" applyAlignment="1" pivotButton="0" quotePrefix="0" xfId="0">
      <alignment vertical="center"/>
    </xf>
    <xf numFmtId="166" fontId="26" fillId="8" borderId="5" applyAlignment="1" pivotButton="0" quotePrefix="0" xfId="0">
      <alignment vertical="center"/>
    </xf>
    <xf numFmtId="165" fontId="6" fillId="7" borderId="2" applyAlignment="1" pivotButton="0" quotePrefix="0" xfId="0">
      <alignment vertical="center"/>
    </xf>
    <xf numFmtId="166" fontId="19" fillId="8" borderId="10" applyAlignment="1" pivotButton="0" quotePrefix="0" xfId="0">
      <alignment vertical="center"/>
    </xf>
    <xf numFmtId="166" fontId="19" fillId="8" borderId="11" applyAlignment="1" pivotButton="0" quotePrefix="0" xfId="0">
      <alignment vertical="center"/>
    </xf>
    <xf numFmtId="166" fontId="19" fillId="8" borderId="40" applyAlignment="1" pivotButton="0" quotePrefix="0" xfId="0">
      <alignment vertical="center"/>
    </xf>
    <xf numFmtId="166" fontId="26" fillId="8" borderId="6" applyAlignment="1" pivotButton="0" quotePrefix="0" xfId="0">
      <alignment vertical="center"/>
    </xf>
    <xf numFmtId="165" fontId="6" fillId="7" borderId="39" applyAlignment="1" pivotButton="0" quotePrefix="0" xfId="0">
      <alignment vertical="center"/>
    </xf>
    <xf numFmtId="166" fontId="19" fillId="8" borderId="18" applyAlignment="1" pivotButton="0" quotePrefix="0" xfId="0">
      <alignment vertical="center"/>
    </xf>
    <xf numFmtId="166" fontId="19" fillId="8" borderId="3" applyAlignment="1" pivotButton="0" quotePrefix="0" xfId="0">
      <alignment vertical="center"/>
    </xf>
    <xf numFmtId="165" fontId="14" fillId="15" borderId="2" applyAlignment="1" pivotButton="0" quotePrefix="0" xfId="0">
      <alignment vertical="center"/>
    </xf>
    <xf numFmtId="165" fontId="14" fillId="16" borderId="2" applyAlignment="1" pivotButton="0" quotePrefix="0" xfId="0">
      <alignment vertical="center"/>
    </xf>
    <xf numFmtId="165" fontId="14" fillId="3" borderId="39" applyAlignment="1" pivotButton="0" quotePrefix="0" xfId="0">
      <alignment vertical="center"/>
    </xf>
    <xf numFmtId="166" fontId="31" fillId="8" borderId="15" applyAlignment="1" pivotButton="0" quotePrefix="0" xfId="0">
      <alignment vertical="center"/>
    </xf>
    <xf numFmtId="166" fontId="31" fillId="8" borderId="16" applyAlignment="1" pivotButton="0" quotePrefix="0" xfId="0">
      <alignment vertical="center"/>
    </xf>
    <xf numFmtId="166" fontId="31" fillId="8" borderId="26" applyAlignment="1" pivotButton="0" quotePrefix="0" xfId="0">
      <alignment vertical="center"/>
    </xf>
    <xf numFmtId="166" fontId="31" fillId="8" borderId="37" applyAlignment="1" pivotButton="0" quotePrefix="0" xfId="0">
      <alignment vertical="center"/>
    </xf>
    <xf numFmtId="165" fontId="15" fillId="2" borderId="11" applyAlignment="1" pivotButton="0" quotePrefix="0" xfId="0">
      <alignment vertical="center"/>
    </xf>
    <xf numFmtId="165" fontId="7" fillId="2" borderId="11" applyAlignment="1" pivotButton="0" quotePrefix="0" xfId="0">
      <alignment vertical="center"/>
    </xf>
    <xf numFmtId="165" fontId="7" fillId="2" borderId="40" applyAlignment="1" pivotButton="0" quotePrefix="0" xfId="0">
      <alignment vertical="center"/>
    </xf>
    <xf numFmtId="165" fontId="7" fillId="17" borderId="11" applyAlignment="1" pivotButton="0" quotePrefix="0" xfId="0">
      <alignment vertical="center"/>
    </xf>
    <xf numFmtId="165" fontId="7" fillId="17" borderId="63" applyAlignment="1" pivotButton="0" quotePrefix="0" xfId="0">
      <alignment vertical="center"/>
    </xf>
    <xf numFmtId="165" fontId="7" fillId="17" borderId="46" applyAlignment="1" pivotButton="0" quotePrefix="0" xfId="0">
      <alignment vertical="center"/>
    </xf>
    <xf numFmtId="165" fontId="7" fillId="2" borderId="46" applyAlignment="1" pivotButton="0" quotePrefix="0" xfId="0">
      <alignment vertical="center"/>
    </xf>
    <xf numFmtId="165" fontId="14" fillId="17" borderId="60" applyAlignment="1" pivotButton="0" quotePrefix="0" xfId="0">
      <alignment vertical="center"/>
    </xf>
    <xf numFmtId="165" fontId="14" fillId="3" borderId="24" applyAlignment="1" pivotButton="0" quotePrefix="0" xfId="0">
      <alignment vertical="center"/>
    </xf>
    <xf numFmtId="165" fontId="6" fillId="0" borderId="24" applyAlignment="1" pivotButton="0" quotePrefix="0" xfId="0">
      <alignment vertical="center"/>
    </xf>
    <xf numFmtId="165" fontId="6" fillId="0" borderId="59" applyAlignment="1" pivotButton="0" quotePrefix="0" xfId="0">
      <alignment vertical="center"/>
    </xf>
    <xf numFmtId="165" fontId="6" fillId="17" borderId="62" applyAlignment="1" pivotButton="0" quotePrefix="0" xfId="0">
      <alignment vertical="center"/>
    </xf>
    <xf numFmtId="165" fontId="6" fillId="0" borderId="35" applyAlignment="1" pivotButton="0" quotePrefix="0" xfId="0">
      <alignment vertical="center"/>
    </xf>
    <xf numFmtId="166" fontId="9" fillId="0" borderId="0" applyAlignment="1" pivotButton="0" quotePrefix="0" xfId="5">
      <alignment horizontal="left" vertical="center"/>
    </xf>
    <xf numFmtId="166" fontId="20" fillId="0" borderId="0" applyAlignment="1" pivotButton="0" quotePrefix="0" xfId="5">
      <alignment horizontal="left" vertical="center" indent="1"/>
    </xf>
    <xf numFmtId="165" fontId="14" fillId="3" borderId="2" pivotButton="0" quotePrefix="0" xfId="0"/>
    <xf numFmtId="165" fontId="6" fillId="0" borderId="2" pivotButton="0" quotePrefix="0" xfId="0"/>
    <xf numFmtId="165" fontId="14" fillId="3" borderId="3" pivotButton="0" quotePrefix="0" xfId="0"/>
    <xf numFmtId="165" fontId="6" fillId="0" borderId="27" pivotButton="0" quotePrefix="0" xfId="0"/>
    <xf numFmtId="165" fontId="6" fillId="0" borderId="36" pivotButton="0" quotePrefix="0" xfId="0"/>
    <xf numFmtId="165" fontId="6" fillId="0" borderId="5" pivotButton="0" quotePrefix="0" xfId="0"/>
    <xf numFmtId="165" fontId="6" fillId="7" borderId="2" pivotButton="0" quotePrefix="0" xfId="0"/>
    <xf numFmtId="165" fontId="15" fillId="2" borderId="11" pivotButton="0" quotePrefix="0" xfId="0"/>
    <xf numFmtId="165" fontId="7" fillId="2" borderId="11" pivotButton="0" quotePrefix="0" xfId="0"/>
    <xf numFmtId="165" fontId="7" fillId="2" borderId="6" pivotButton="0" quotePrefix="0" xfId="0"/>
    <xf numFmtId="165" fontId="14" fillId="3" borderId="24" pivotButton="0" quotePrefix="0" xfId="0"/>
    <xf numFmtId="165" fontId="6" fillId="0" borderId="24" pivotButton="0" quotePrefix="0" xfId="0"/>
    <xf numFmtId="166" fontId="9" fillId="0" borderId="0" applyAlignment="1" pivotButton="0" quotePrefix="0" xfId="5">
      <alignment horizontal="left" vertical="top"/>
    </xf>
    <xf numFmtId="166" fontId="133" fillId="0" borderId="0" applyAlignment="1" pivotButton="0" quotePrefix="0" xfId="1">
      <alignment wrapText="1"/>
    </xf>
    <xf numFmtId="166" fontId="133" fillId="0" borderId="71" applyAlignment="1" pivotButton="0" quotePrefix="0" xfId="1">
      <alignment wrapText="1"/>
    </xf>
    <xf numFmtId="166" fontId="127" fillId="24" borderId="71" applyAlignment="1" pivotButton="0" quotePrefix="0" xfId="1">
      <alignment wrapText="1"/>
    </xf>
    <xf numFmtId="166" fontId="129" fillId="25" borderId="71" applyAlignment="1" pivotButton="0" quotePrefix="0" xfId="1">
      <alignment horizontal="center" vertical="center" wrapText="1"/>
    </xf>
    <xf numFmtId="166" fontId="128" fillId="25" borderId="71" applyAlignment="1" pivotButton="0" quotePrefix="0" xfId="1">
      <alignment wrapText="1"/>
    </xf>
    <xf numFmtId="166" fontId="128" fillId="26" borderId="71" applyAlignment="1" pivotButton="0" quotePrefix="0" xfId="1">
      <alignment horizontal="center" wrapText="1"/>
    </xf>
    <xf numFmtId="166" fontId="133" fillId="0" borderId="0" applyAlignment="1" pivotButton="0" quotePrefix="0" xfId="1">
      <alignment vertical="top" wrapText="1"/>
    </xf>
    <xf numFmtId="166" fontId="127" fillId="24" borderId="71" applyAlignment="1" pivotButton="0" quotePrefix="0" xfId="1">
      <alignment vertical="top" wrapText="1"/>
    </xf>
    <xf numFmtId="166" fontId="135" fillId="24" borderId="71" applyAlignment="1" pivotButton="0" quotePrefix="0" xfId="1">
      <alignment horizontal="center" vertical="top" wrapText="1"/>
    </xf>
    <xf numFmtId="166" fontId="135" fillId="27" borderId="71" applyAlignment="1" pivotButton="0" quotePrefix="0" xfId="1">
      <alignment horizontal="center" vertical="top" wrapText="1"/>
    </xf>
    <xf numFmtId="166" fontId="135" fillId="28" borderId="71" applyAlignment="1" pivotButton="0" quotePrefix="0" xfId="1">
      <alignment horizontal="center" vertical="top"/>
    </xf>
    <xf numFmtId="166" fontId="136" fillId="29" borderId="76" applyAlignment="1" pivotButton="0" quotePrefix="0" xfId="1">
      <alignment horizontal="center" vertical="center" wrapText="1"/>
    </xf>
    <xf numFmtId="166" fontId="132" fillId="29" borderId="76" applyAlignment="1" pivotButton="0" quotePrefix="0" xfId="1">
      <alignment horizontal="center" vertical="center" wrapText="1"/>
    </xf>
    <xf numFmtId="166" fontId="136" fillId="29" borderId="76" applyAlignment="1" pivotButton="0" quotePrefix="0" xfId="1">
      <alignment horizontal="center" wrapText="1"/>
    </xf>
    <xf numFmtId="166" fontId="131" fillId="24" borderId="71" applyAlignment="1" pivotButton="0" quotePrefix="0" xfId="1">
      <alignment wrapText="1"/>
    </xf>
    <xf numFmtId="166" fontId="130" fillId="30" borderId="77" applyAlignment="1" pivotButton="0" quotePrefix="0" xfId="1">
      <alignment horizontal="center" vertical="center" wrapText="1"/>
    </xf>
    <xf numFmtId="166" fontId="132" fillId="30" borderId="77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wrapText="1"/>
    </xf>
    <xf numFmtId="166" fontId="130" fillId="30" borderId="77" pivotButton="0" quotePrefix="0" xfId="1"/>
    <xf numFmtId="166" fontId="127" fillId="24" borderId="71" applyAlignment="1" pivotButton="0" quotePrefix="0" xfId="1">
      <alignment horizontal="center" vertical="center" wrapText="1"/>
    </xf>
    <xf numFmtId="166" fontId="131" fillId="24" borderId="71" applyAlignment="1" pivotButton="0" quotePrefix="0" xfId="1">
      <alignment horizontal="center" vertical="center" wrapText="1"/>
    </xf>
    <xf numFmtId="166" fontId="127" fillId="24" borderId="71" pivotButton="0" quotePrefix="0" xfId="1"/>
    <xf numFmtId="166" fontId="127" fillId="24" borderId="71" applyAlignment="1" pivotButton="0" quotePrefix="0" xfId="1">
      <alignment horizontal="right" wrapText="1"/>
    </xf>
    <xf numFmtId="166" fontId="130" fillId="30" borderId="78" applyAlignment="1" pivotButton="0" quotePrefix="0" xfId="1">
      <alignment horizontal="center" vertical="center" wrapText="1"/>
    </xf>
    <xf numFmtId="166" fontId="132" fillId="30" borderId="78" applyAlignment="1" pivotButton="0" quotePrefix="0" xfId="1">
      <alignment horizontal="center" vertical="center" wrapText="1"/>
    </xf>
    <xf numFmtId="166" fontId="130" fillId="30" borderId="78" applyAlignment="1" pivotButton="0" quotePrefix="0" xfId="1">
      <alignment horizontal="right" vertical="center" wrapText="1"/>
    </xf>
    <xf numFmtId="166" fontId="130" fillId="30" borderId="78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/>
    </xf>
    <xf numFmtId="166" fontId="127" fillId="24" borderId="79" applyAlignment="1" pivotButton="0" quotePrefix="0" xfId="1">
      <alignment wrapText="1"/>
    </xf>
    <xf numFmtId="166" fontId="131" fillId="24" borderId="79" applyAlignment="1" pivotButton="0" quotePrefix="0" xfId="1">
      <alignment wrapText="1"/>
    </xf>
    <xf numFmtId="166" fontId="127" fillId="24" borderId="79" applyAlignment="1" pivotButton="0" quotePrefix="0" xfId="1">
      <alignment horizontal="right" wrapText="1"/>
    </xf>
    <xf numFmtId="166" fontId="137" fillId="24" borderId="81" applyAlignment="1" pivotButton="0" quotePrefix="0" xfId="1">
      <alignment wrapText="1"/>
    </xf>
    <xf numFmtId="166" fontId="131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 wrapText="1"/>
    </xf>
    <xf numFmtId="166" fontId="137" fillId="24" borderId="80" applyAlignment="1" pivotButton="0" quotePrefix="0" xfId="1">
      <alignment wrapText="1"/>
    </xf>
    <xf numFmtId="166" fontId="131" fillId="24" borderId="80" applyAlignment="1" pivotButton="0" quotePrefix="0" xfId="1">
      <alignment wrapText="1"/>
    </xf>
    <xf numFmtId="166" fontId="127" fillId="24" borderId="80" applyAlignment="1" pivotButton="0" quotePrefix="0" xfId="1">
      <alignment horizontal="right" wrapText="1"/>
    </xf>
    <xf numFmtId="166" fontId="130" fillId="30" borderId="71" applyAlignment="1" pivotButton="0" quotePrefix="0" xfId="1">
      <alignment horizontal="center" vertical="center" wrapText="1"/>
    </xf>
    <xf numFmtId="166" fontId="132" fillId="30" borderId="71" applyAlignment="1" pivotButton="0" quotePrefix="0" xfId="1">
      <alignment wrapText="1"/>
    </xf>
    <xf numFmtId="166" fontId="130" fillId="30" borderId="71" applyAlignment="1" pivotButton="0" quotePrefix="0" xfId="1">
      <alignment horizontal="right" wrapText="1"/>
    </xf>
    <xf numFmtId="166" fontId="126" fillId="30" borderId="71" applyAlignment="1" pivotButton="0" quotePrefix="0" xfId="1">
      <alignment horizontal="right" wrapText="1"/>
    </xf>
    <xf numFmtId="166" fontId="127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/>
    </xf>
    <xf numFmtId="166" fontId="126" fillId="29" borderId="83" applyAlignment="1" pivotButton="0" quotePrefix="0" xfId="1">
      <alignment wrapText="1"/>
    </xf>
    <xf numFmtId="166" fontId="132" fillId="29" borderId="83" applyAlignment="1" pivotButton="0" quotePrefix="0" xfId="1">
      <alignment wrapText="1"/>
    </xf>
    <xf numFmtId="166" fontId="126" fillId="29" borderId="83" applyAlignment="1" pivotButton="0" quotePrefix="0" xfId="1">
      <alignment horizontal="right" wrapText="1"/>
    </xf>
    <xf numFmtId="166" fontId="132" fillId="30" borderId="71" applyAlignment="1" pivotButton="0" quotePrefix="0" xfId="1">
      <alignment horizontal="center" vertical="center" wrapText="1"/>
    </xf>
    <xf numFmtId="166" fontId="130" fillId="30" borderId="71" applyAlignment="1" pivotButton="0" quotePrefix="0" xfId="1">
      <alignment horizontal="right" vertical="center" wrapText="1"/>
    </xf>
    <xf numFmtId="166" fontId="127" fillId="24" borderId="79" applyAlignment="1" pivotButton="0" quotePrefix="0" xfId="1">
      <alignment horizontal="right"/>
    </xf>
    <xf numFmtId="166" fontId="126" fillId="29" borderId="82" applyAlignment="1" pivotButton="0" quotePrefix="0" xfId="1">
      <alignment wrapText="1"/>
    </xf>
    <xf numFmtId="166" fontId="132" fillId="29" borderId="82" applyAlignment="1" pivotButton="0" quotePrefix="0" xfId="1">
      <alignment wrapText="1"/>
    </xf>
    <xf numFmtId="166" fontId="126" fillId="29" borderId="82" applyAlignment="1" pivotButton="0" quotePrefix="0" xfId="1">
      <alignment horizontal="right" wrapText="1"/>
    </xf>
    <xf numFmtId="166" fontId="137" fillId="24" borderId="84" applyAlignment="1" pivotButton="0" quotePrefix="0" xfId="1">
      <alignment wrapText="1"/>
    </xf>
    <xf numFmtId="166" fontId="137" fillId="24" borderId="84" applyAlignment="1" pivotButton="0" quotePrefix="0" xfId="1">
      <alignment horizontal="right" wrapText="1"/>
    </xf>
    <xf numFmtId="166" fontId="130" fillId="30" borderId="71" applyAlignment="1" pivotButton="0" quotePrefix="0" xfId="1">
      <alignment wrapText="1"/>
    </xf>
    <xf numFmtId="166" fontId="130" fillId="30" borderId="71" applyAlignment="1" pivotButton="0" quotePrefix="0" xfId="0">
      <alignment horizontal="center" vertical="center" wrapText="1"/>
    </xf>
    <xf numFmtId="166" fontId="126" fillId="24" borderId="81" applyAlignment="1" pivotButton="0" quotePrefix="0" xfId="1">
      <alignment wrapText="1"/>
    </xf>
    <xf numFmtId="166" fontId="138" fillId="0" borderId="0" applyAlignment="1" pivotButton="0" quotePrefix="0" xfId="1">
      <alignment wrapText="1"/>
    </xf>
    <xf numFmtId="166" fontId="126" fillId="24" borderId="80" applyAlignment="1" pivotButton="0" quotePrefix="0" xfId="1">
      <alignment wrapText="1"/>
    </xf>
    <xf numFmtId="166" fontId="127" fillId="24" borderId="80" applyAlignment="1" pivotButton="0" quotePrefix="0" xfId="1">
      <alignment wrapText="1"/>
    </xf>
    <xf numFmtId="166" fontId="121" fillId="0" borderId="0" applyAlignment="1" pivotButton="0" quotePrefix="0" xfId="1">
      <alignment wrapText="1"/>
    </xf>
    <xf numFmtId="166" fontId="139" fillId="0" borderId="0" applyAlignment="1" pivotButton="0" quotePrefix="0" xfId="1">
      <alignment wrapText="1"/>
    </xf>
    <xf numFmtId="166" fontId="128" fillId="31" borderId="71" applyAlignment="1" pivotButton="0" quotePrefix="0" xfId="1">
      <alignment horizontal="center" vertical="center" wrapText="1"/>
    </xf>
    <xf numFmtId="166" fontId="128" fillId="31" borderId="71" applyAlignment="1" pivotButton="0" quotePrefix="0" xfId="1">
      <alignment wrapText="1"/>
    </xf>
    <xf numFmtId="0" fontId="0" fillId="0" borderId="86" pivotButton="0" quotePrefix="0" xfId="0"/>
    <xf numFmtId="166" fontId="140" fillId="32" borderId="86" applyAlignment="1" pivotButton="0" quotePrefix="0" xfId="1">
      <alignment horizontal="center" vertical="center" wrapText="1"/>
    </xf>
    <xf numFmtId="166" fontId="133" fillId="0" borderId="0" applyAlignment="1" pivotButton="0" quotePrefix="0" xfId="1">
      <alignment horizontal="center" vertical="center" wrapText="1"/>
    </xf>
    <xf numFmtId="166" fontId="140" fillId="32" borderId="87" applyAlignment="1" pivotButton="0" quotePrefix="0" xfId="1">
      <alignment horizontal="center" vertical="center" wrapText="1"/>
    </xf>
    <xf numFmtId="166" fontId="140" fillId="32" borderId="79" applyAlignment="1" pivotButton="0" quotePrefix="0" xfId="1">
      <alignment horizontal="center" vertical="center" wrapText="1"/>
    </xf>
    <xf numFmtId="166" fontId="140" fillId="32" borderId="79" applyAlignment="1" pivotButton="0" quotePrefix="0" xfId="1">
      <alignment horizontal="left" vertical="center" wrapText="1"/>
    </xf>
    <xf numFmtId="166" fontId="127" fillId="24" borderId="79" applyAlignment="1" pivotButton="0" quotePrefix="0" xfId="1">
      <alignment horizontal="center" vertical="center" wrapText="1"/>
    </xf>
    <xf numFmtId="166" fontId="127" fillId="24" borderId="2" applyAlignment="1" pivotButton="0" quotePrefix="0" xfId="1">
      <alignment horizontal="left" vertical="center" wrapText="1"/>
    </xf>
    <xf numFmtId="166" fontId="127" fillId="24" borderId="2" applyAlignment="1" pivotButton="0" quotePrefix="0" xfId="1">
      <alignment horizontal="center" vertical="center" wrapText="1"/>
    </xf>
    <xf numFmtId="166" fontId="127" fillId="24" borderId="81" applyAlignment="1" pivotButton="0" quotePrefix="0" xfId="1">
      <alignment horizontal="left" vertical="center" wrapText="1"/>
    </xf>
    <xf numFmtId="166" fontId="127" fillId="24" borderId="81" applyAlignment="1" pivotButton="0" quotePrefix="0" xfId="1">
      <alignment vertical="center" wrapText="1"/>
    </xf>
    <xf numFmtId="166" fontId="127" fillId="24" borderId="81" applyAlignment="1" pivotButton="0" quotePrefix="0" xfId="1">
      <alignment horizontal="center" vertical="center" wrapText="1"/>
    </xf>
    <xf numFmtId="166" fontId="142" fillId="0" borderId="71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horizontal="left" vertical="center" wrapText="1"/>
    </xf>
    <xf numFmtId="166" fontId="126" fillId="24" borderId="88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vertical="center" wrapText="1"/>
    </xf>
    <xf numFmtId="166" fontId="126" fillId="24" borderId="2" applyAlignment="1" pivotButton="0" quotePrefix="0" xfId="1">
      <alignment horizontal="left" vertical="center" wrapText="1"/>
    </xf>
    <xf numFmtId="166" fontId="126" fillId="24" borderId="2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horizontal="left" vertical="center" wrapText="1"/>
    </xf>
    <xf numFmtId="166" fontId="127" fillId="24" borderId="71" applyAlignment="1" pivotButton="0" quotePrefix="0" xfId="1">
      <alignment vertical="center" wrapText="1"/>
    </xf>
    <xf numFmtId="166" fontId="140" fillId="32" borderId="71" applyAlignment="1" pivotButton="0" quotePrefix="0" xfId="1">
      <alignment horizontal="center" vertical="center" wrapText="1"/>
    </xf>
    <xf numFmtId="166" fontId="140" fillId="32" borderId="2" applyAlignment="1" pivotButton="0" quotePrefix="0" xfId="1">
      <alignment horizontal="left" vertical="center" wrapText="1"/>
    </xf>
    <xf numFmtId="166" fontId="140" fillId="32" borderId="2" applyAlignment="1" pivotButton="0" quotePrefix="0" xfId="1">
      <alignment horizontal="center" vertical="center" wrapText="1"/>
    </xf>
    <xf numFmtId="166" fontId="126" fillId="29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center" vertical="center" wrapText="1"/>
    </xf>
    <xf numFmtId="166" fontId="128" fillId="25" borderId="71" applyAlignment="1" pivotButton="0" quotePrefix="0" xfId="1">
      <alignment horizontal="left" vertical="center" wrapText="1"/>
    </xf>
    <xf numFmtId="166" fontId="128" fillId="33" borderId="71" applyAlignment="1" pivotButton="0" quotePrefix="0" xfId="1">
      <alignment horizontal="center" vertical="center" wrapText="1"/>
    </xf>
    <xf numFmtId="166" fontId="127" fillId="24" borderId="82" applyAlignment="1" pivotButton="0" quotePrefix="0" xfId="0">
      <alignment horizontal="right" vertical="center" wrapText="1"/>
    </xf>
    <xf numFmtId="166" fontId="127" fillId="24" borderId="82" applyAlignment="1" pivotButton="0" quotePrefix="0" xfId="1">
      <alignment horizontal="center" vertical="center" wrapText="1"/>
    </xf>
    <xf numFmtId="166" fontId="126" fillId="24" borderId="80" applyAlignment="1" pivotButton="0" quotePrefix="0" xfId="1">
      <alignment horizontal="left" vertical="center" wrapText="1"/>
    </xf>
    <xf numFmtId="166" fontId="127" fillId="24" borderId="80" applyAlignment="1" pivotButton="0" quotePrefix="0" xfId="1">
      <alignment horizontal="center" vertical="center" wrapText="1"/>
    </xf>
    <xf numFmtId="166" fontId="126" fillId="29" borderId="90" applyAlignment="1" pivotButton="0" quotePrefix="0" xfId="1">
      <alignment horizontal="center" vertical="center" wrapText="1"/>
    </xf>
    <xf numFmtId="166" fontId="126" fillId="29" borderId="85" applyAlignment="1" pivotButton="0" quotePrefix="0" xfId="1">
      <alignment horizontal="center" vertical="center" wrapText="1"/>
    </xf>
    <xf numFmtId="166" fontId="126" fillId="29" borderId="83" applyAlignment="1" pivotButton="0" quotePrefix="0" xfId="1">
      <alignment vertical="center" wrapText="1"/>
    </xf>
    <xf numFmtId="166" fontId="126" fillId="29" borderId="83" applyAlignment="1" pivotButton="0" quotePrefix="0" xfId="1">
      <alignment horizontal="center" vertical="center" wrapText="1"/>
    </xf>
    <xf numFmtId="166" fontId="127" fillId="24" borderId="82" applyAlignment="1" pivotButton="0" quotePrefix="0" xfId="1">
      <alignment horizontal="center" vertical="top" wrapText="1"/>
    </xf>
    <xf numFmtId="166" fontId="127" fillId="24" borderId="81" applyAlignment="1" pivotButton="0" quotePrefix="0" xfId="0">
      <alignment horizontal="right" vertical="center" wrapText="1"/>
    </xf>
    <xf numFmtId="166" fontId="128" fillId="34" borderId="71" applyAlignment="1" pivotButton="0" quotePrefix="0" xfId="1">
      <alignment horizontal="left" vertical="center" wrapText="1"/>
    </xf>
    <xf numFmtId="166" fontId="128" fillId="34" borderId="71" applyAlignment="1" pivotButton="0" quotePrefix="0" xfId="1">
      <alignment horizontal="center" vertical="center" wrapText="1"/>
    </xf>
    <xf numFmtId="166" fontId="144" fillId="35" borderId="71" applyAlignment="1" pivotButton="0" quotePrefix="0" xfId="1">
      <alignment horizontal="center" vertical="center" wrapText="1"/>
    </xf>
    <xf numFmtId="166" fontId="133" fillId="0" borderId="71" applyAlignment="1" pivotButton="0" quotePrefix="0" xfId="1">
      <alignment horizontal="center" vertical="center" wrapText="1"/>
    </xf>
    <xf numFmtId="166" fontId="144" fillId="24" borderId="2" applyAlignment="1" pivotButton="0" quotePrefix="0" xfId="1">
      <alignment horizontal="center" vertical="center" wrapText="1"/>
    </xf>
    <xf numFmtId="166" fontId="126" fillId="16" borderId="2" applyAlignment="1" pivotButton="0" quotePrefix="0" xfId="1">
      <alignment horizontal="right" vertical="center" wrapText="1"/>
    </xf>
    <xf numFmtId="167" fontId="144" fillId="24" borderId="2" applyAlignment="1" pivotButton="0" quotePrefix="0" xfId="1">
      <alignment horizontal="center" vertical="center" wrapText="1"/>
    </xf>
    <xf numFmtId="166" fontId="127" fillId="24" borderId="81" applyAlignment="1" pivotButton="0" quotePrefix="0" xfId="0">
      <alignment horizontal="center" vertical="center" wrapText="1"/>
    </xf>
    <xf numFmtId="168" fontId="127" fillId="24" borderId="71" applyAlignment="1" pivotButton="0" quotePrefix="0" xfId="0">
      <alignment wrapText="1"/>
    </xf>
  </cellXfs>
  <cellStyles count="10">
    <cellStyle name="Normal" xfId="0" builtinId="0"/>
    <cellStyle name="Comma" xfId="1" builtinId="3"/>
    <cellStyle name="Normal 2" xfId="2"/>
    <cellStyle name="Standard 2" xfId="3"/>
    <cellStyle name="Normal 2 2" xfId="4"/>
    <cellStyle name="Komma 2" xfId="5"/>
    <cellStyle name="Prozent 2" xfId="6"/>
    <cellStyle name="Per cent" xfId="7" builtinId="5"/>
    <cellStyle name="Standard 2 2" xfId="8"/>
    <cellStyle name="Normal 4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AO Desk</author>
  </authors>
  <commentList>
    <comment ref="G85" authorId="0" shapeId="0">
      <text>
        <t>PAID — AO April DR#1 fulfilled.
Settlement 24-27 Apr 2026 (mixed-source):
  • USD 700K bridged from DV UBS Swiss private (Fri 24 Apr 2026)
  • USD 1.8M from AO's Armenia account (27 Apr 2026)
Eli→LCG payment orders executed 28 Apr 2026.
Field-validated AO Baden-Baden 2026-05-04.
See curated/2026-05-04-ao-capital-call-7m-walkthrough.md.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dimitry/Desktop/009_MOVIE_AO_Baker_Version_20260411%20Baker%20version%204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O "/>
      <sheetName val="BC Rev TL CF"/>
      <sheetName val="Equity calculation "/>
      <sheetName val="progress of works"/>
    </sheetNames>
    <sheetDataSet>
      <sheetData sheetId="0"/>
      <sheetData sheetId="1">
        <row r="31">
          <cell r="W31">
            <v>3120000</v>
          </cell>
        </row>
        <row r="32">
          <cell r="W32">
            <v>1768695</v>
          </cell>
          <cell r="X32">
            <v>132000</v>
          </cell>
          <cell r="Z32">
            <v>482566</v>
          </cell>
        </row>
        <row r="33">
          <cell r="AD33">
            <v>5738338.9510000004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07"/>
  <sheetViews>
    <sheetView topLeftCell="C1" zoomScaleNormal="100" workbookViewId="0">
      <pane xSplit="3" ySplit="6" topLeftCell="F70" activePane="bottomRight" state="frozen"/>
      <selection pane="topRight" activeCell="F1" sqref="F1"/>
      <selection pane="bottomLeft" activeCell="C9" sqref="C9"/>
      <selection pane="bottomRight" activeCell="C95" sqref="A95:XFD95"/>
    </sheetView>
  </sheetViews>
  <sheetFormatPr baseColWidth="10" defaultColWidth="10.83203125" defaultRowHeight="16"/>
  <cols>
    <col width="2.33203125" customWidth="1" style="800" min="1" max="1"/>
    <col width="2.83203125" customWidth="1" style="800" min="2" max="2"/>
    <col width="6.1640625" customWidth="1" style="800" min="3" max="3"/>
    <col width="48.6640625" customWidth="1" style="800" min="4" max="4"/>
    <col width="7.1640625" customWidth="1" style="800" min="5" max="5"/>
    <col width="18" customWidth="1" style="800" min="6" max="6"/>
    <col width="19.33203125" customWidth="1" style="800" min="7" max="7"/>
    <col width="18.6640625" customWidth="1" style="800" min="8" max="8"/>
    <col width="19.33203125" customWidth="1" style="800" min="9" max="9"/>
    <col width="18" customWidth="1" style="800" min="10" max="11"/>
    <col width="18" customWidth="1" style="801" min="12" max="12"/>
    <col width="22" customWidth="1" style="800" min="13" max="13"/>
    <col width="19.6640625" customWidth="1" style="800" min="14" max="14"/>
    <col width="22.33203125" customWidth="1" style="800" min="15" max="15"/>
    <col width="22.6640625" customWidth="1" style="800" min="16" max="16"/>
    <col width="22.33203125" customWidth="1" style="800" min="17" max="17"/>
    <col width="31.33203125" customWidth="1" style="800" min="18" max="18"/>
    <col width="25.83203125" customWidth="1" style="800" min="19" max="19"/>
    <col width="19.33203125" customWidth="1" style="800" min="20" max="21"/>
    <col width="24.83203125" customWidth="1" style="800" min="22" max="22"/>
    <col width="10.83203125" customWidth="1" style="800" min="23" max="26"/>
    <col width="10.83203125" customWidth="1" style="800" min="27" max="16384"/>
  </cols>
  <sheetData>
    <row r="2" ht="48" customHeight="1" s="799">
      <c r="D2" s="326" t="inlineStr">
        <is>
          <t>FINANCING TO COMPLETION 2025–2026</t>
        </is>
      </c>
      <c r="E2" s="392" t="n"/>
      <c r="F2" s="393" t="n"/>
      <c r="G2" s="802" t="inlineStr">
        <is>
          <t>As of 13 Jun 2025</t>
        </is>
      </c>
      <c r="P2" s="803" t="inlineStr">
        <is>
          <t>As of 09 Apr 2026</t>
        </is>
      </c>
    </row>
    <row r="3" ht="17" customHeight="1" s="799" thickBot="1"/>
    <row r="4" ht="24" customHeight="1" s="799" thickBot="1">
      <c r="C4" s="395" t="inlineStr">
        <is>
          <t>A</t>
        </is>
      </c>
      <c r="D4" s="327" t="inlineStr">
        <is>
          <t>Allocation</t>
        </is>
      </c>
      <c r="F4" s="396" t="n"/>
      <c r="G4" s="791" t="inlineStr">
        <is>
          <t>2025 ( MAR-SEP)</t>
        </is>
      </c>
      <c r="H4" s="804" t="n"/>
      <c r="I4" s="804" t="n"/>
      <c r="J4" s="804" t="n"/>
      <c r="K4" s="804" t="n"/>
      <c r="L4" s="804" t="n"/>
      <c r="M4" s="804" t="n"/>
      <c r="N4" s="805" t="n"/>
      <c r="P4" s="462" t="inlineStr">
        <is>
          <t>2025 ( OCT-DEC)</t>
        </is>
      </c>
      <c r="Q4" s="397" t="n"/>
      <c r="R4" s="397" t="inlineStr">
        <is>
          <t>2026 (JAN-JUN)</t>
        </is>
      </c>
      <c r="S4" s="398" t="n"/>
      <c r="T4" s="391" t="n"/>
      <c r="U4" s="806" t="n"/>
    </row>
    <row r="5" ht="32" customFormat="1" customHeight="1" s="807" thickBot="1">
      <c r="F5" s="808" t="inlineStr">
        <is>
          <t>ACTUAL</t>
        </is>
      </c>
      <c r="G5" s="804" t="n"/>
      <c r="H5" s="804" t="n"/>
      <c r="I5" s="785" t="inlineStr">
        <is>
          <t>PROJECTED</t>
        </is>
      </c>
      <c r="J5" s="804" t="n"/>
      <c r="K5" s="804" t="n"/>
      <c r="L5" s="804" t="n"/>
      <c r="M5" s="805" t="n"/>
      <c r="N5" s="400" t="inlineStr">
        <is>
          <t>CAPITAL CALL</t>
        </is>
      </c>
      <c r="P5" s="809" t="inlineStr">
        <is>
          <t>ACTUAL SPENT</t>
        </is>
      </c>
      <c r="Q5" s="810" t="inlineStr">
        <is>
          <t>DEFICIT OF FUNDS</t>
        </is>
      </c>
      <c r="R5" s="810" t="inlineStr">
        <is>
          <t>PROJECTED &amp; ACTUAL</t>
        </is>
      </c>
      <c r="S5" s="811" t="inlineStr">
        <is>
          <t>DEFICIT OF FUNDS AND PROJECTED TILL JUNE 2026</t>
        </is>
      </c>
      <c r="T5" s="812" t="inlineStr">
        <is>
          <t>CAPITAL CALL</t>
        </is>
      </c>
      <c r="U5" s="813" t="n"/>
    </row>
    <row r="6" ht="47" customHeight="1" s="799">
      <c r="D6" s="814" t="inlineStr">
        <is>
          <t xml:space="preserve">Description </t>
        </is>
      </c>
      <c r="E6" s="815" t="inlineStr">
        <is>
          <t>%</t>
        </is>
      </c>
      <c r="F6" s="816" t="inlineStr">
        <is>
          <t>MARCH</t>
        </is>
      </c>
      <c r="G6" s="816" t="inlineStr">
        <is>
          <t>APRIL</t>
        </is>
      </c>
      <c r="H6" s="816" t="inlineStr">
        <is>
          <t>MAY</t>
        </is>
      </c>
      <c r="I6" s="817" t="inlineStr">
        <is>
          <t>JUNE</t>
        </is>
      </c>
      <c r="J6" s="817" t="inlineStr">
        <is>
          <t>JULY</t>
        </is>
      </c>
      <c r="K6" s="817" t="inlineStr">
        <is>
          <t>AUGUST</t>
        </is>
      </c>
      <c r="L6" s="818" t="n"/>
      <c r="M6" s="817" t="inlineStr">
        <is>
          <t>SEPTEMBER</t>
        </is>
      </c>
      <c r="N6" s="819" t="inlineStr">
        <is>
          <t xml:space="preserve">
Sep 2025</t>
        </is>
      </c>
      <c r="P6" s="820" t="inlineStr">
        <is>
          <t>OCT-DEC</t>
        </is>
      </c>
      <c r="Q6" s="463" t="inlineStr">
        <is>
          <t>DIFFERENCE BTW REQUESTED &amp; RECEIVED</t>
        </is>
      </c>
      <c r="R6" s="463" t="inlineStr">
        <is>
          <t>Jan2026 -June 2026</t>
        </is>
      </c>
      <c r="S6" s="821" t="inlineStr">
        <is>
          <t>OCT -JUNE 2026</t>
        </is>
      </c>
      <c r="T6" s="822" t="inlineStr">
        <is>
          <t xml:space="preserve">
Apr 2026</t>
        </is>
      </c>
      <c r="U6" s="806" t="n"/>
    </row>
    <row r="7" ht="17" customHeight="1" s="799" thickBot="1">
      <c r="Q7" s="806" t="n"/>
      <c r="R7" s="806" t="n"/>
      <c r="S7" s="806" t="n"/>
      <c r="T7" s="806" t="n"/>
      <c r="U7" s="806" t="n"/>
    </row>
    <row r="8" ht="18" customHeight="1" s="799" thickBot="1">
      <c r="D8" s="823" t="inlineStr">
        <is>
          <t>Uses</t>
        </is>
      </c>
      <c r="E8" s="824" t="n"/>
      <c r="F8" s="825" t="n"/>
      <c r="G8" s="826" t="n"/>
      <c r="H8" s="826" t="n"/>
      <c r="I8" s="826" t="n"/>
      <c r="J8" s="826" t="n"/>
      <c r="K8" s="826" t="n"/>
      <c r="L8" s="826" t="n"/>
      <c r="M8" s="826" t="n"/>
      <c r="N8" s="827" t="n"/>
      <c r="O8" s="828" t="n"/>
      <c r="P8" s="829" t="n"/>
      <c r="Q8" s="829" t="n"/>
      <c r="R8" s="829" t="n"/>
      <c r="S8" s="829" t="n"/>
      <c r="T8" s="830" t="n"/>
      <c r="U8" s="806" t="n"/>
    </row>
    <row r="9" ht="18" customHeight="1" s="799" thickBot="1">
      <c r="D9" s="831" t="n"/>
      <c r="E9" s="832" t="n"/>
      <c r="F9" s="833" t="n"/>
      <c r="G9" s="833" t="n"/>
      <c r="H9" s="833" t="n"/>
      <c r="I9" s="833" t="n"/>
      <c r="J9" s="833" t="n"/>
      <c r="K9" s="833" t="n"/>
      <c r="L9" s="834" t="n"/>
      <c r="M9" s="833" t="n"/>
      <c r="N9" s="835" t="n"/>
      <c r="P9" s="836" t="n"/>
      <c r="Q9" s="836" t="n"/>
      <c r="R9" s="836" t="n"/>
      <c r="S9" s="836" t="n"/>
      <c r="T9" s="836" t="n"/>
      <c r="U9" s="806" t="n"/>
    </row>
    <row r="10" ht="21" customHeight="1" s="799">
      <c r="D10" s="837" t="inlineStr">
        <is>
          <t>Available at begining of period</t>
        </is>
      </c>
      <c r="E10" s="838" t="n"/>
      <c r="F10" s="839" t="n">
        <v>14814554</v>
      </c>
      <c r="G10" s="840" t="n">
        <v>8723948</v>
      </c>
      <c r="H10" s="840" t="n">
        <v>711925.6708333362</v>
      </c>
      <c r="I10" s="840" t="n">
        <v>-0.3291666638106108</v>
      </c>
      <c r="J10" s="840" t="n"/>
      <c r="K10" s="840" t="n">
        <v>0</v>
      </c>
      <c r="L10" s="840" t="n"/>
      <c r="M10" s="840" t="n">
        <v>0</v>
      </c>
      <c r="N10" s="841" t="n"/>
      <c r="O10" s="842" t="n"/>
      <c r="P10" s="840" t="n"/>
      <c r="Q10" s="840" t="n"/>
      <c r="R10" s="840" t="n"/>
      <c r="S10" s="840" t="n"/>
      <c r="T10" s="843" t="n"/>
      <c r="U10" s="806" t="n"/>
    </row>
    <row r="11" ht="29" customHeight="1" s="799" thickBot="1">
      <c r="D11" s="844" t="inlineStr">
        <is>
          <t>CAPEX</t>
        </is>
      </c>
      <c r="E11" s="815" t="n"/>
      <c r="F11" s="845" t="n"/>
      <c r="G11" s="846" t="n"/>
      <c r="H11" s="846" t="n"/>
      <c r="I11" s="846" t="n"/>
      <c r="J11" s="846" t="n"/>
      <c r="K11" s="846" t="n"/>
      <c r="L11" s="847" t="n"/>
      <c r="M11" s="846" t="n"/>
      <c r="N11" s="848" t="n"/>
      <c r="P11" s="849" t="n"/>
      <c r="Q11" s="850" t="n"/>
      <c r="R11" s="851" t="n"/>
      <c r="S11" s="851" t="n"/>
      <c r="T11" s="852" t="n"/>
      <c r="U11" s="806" t="n"/>
    </row>
    <row r="12" ht="21" customHeight="1" s="799" thickBot="1">
      <c r="D12" s="853" t="inlineStr">
        <is>
          <t xml:space="preserve">Construction and Development </t>
        </is>
      </c>
      <c r="E12" s="854" t="n"/>
      <c r="F12" s="855" t="n">
        <v>-4320606</v>
      </c>
      <c r="G12" s="856" t="n">
        <v>-6261022.329166664</v>
      </c>
      <c r="H12" s="856" t="n">
        <v>-6361022.329166664</v>
      </c>
      <c r="I12" s="856" t="n">
        <v>-7002685.329166664</v>
      </c>
      <c r="J12" s="856" t="n">
        <v>-5026592.8125</v>
      </c>
      <c r="K12" s="857" t="n">
        <v>-1098625</v>
      </c>
      <c r="L12" s="857" t="n"/>
      <c r="M12" s="857" t="n">
        <v>-1670000</v>
      </c>
      <c r="N12" s="858" t="n">
        <v>-31740553.79999999</v>
      </c>
      <c r="O12" s="828" t="n"/>
      <c r="P12" s="858" t="n">
        <v>-1341458.080000009</v>
      </c>
      <c r="Q12" s="859">
        <f>P12</f>
        <v/>
      </c>
      <c r="R12" s="858" t="n">
        <v>-2541213</v>
      </c>
      <c r="S12" s="858">
        <f>Q12+R12</f>
        <v/>
      </c>
      <c r="T12" s="858" t="n"/>
      <c r="U12" s="806" t="n"/>
    </row>
    <row r="13" ht="20.25" customHeight="1" s="799">
      <c r="D13" s="860" t="inlineStr">
        <is>
          <t>Hotel Replacement Construction Costs</t>
        </is>
      </c>
      <c r="E13" s="854" t="n"/>
      <c r="F13" s="861" t="n"/>
      <c r="G13" s="862" t="n"/>
      <c r="H13" s="862" t="n"/>
      <c r="I13" s="862" t="n"/>
      <c r="J13" s="862" t="n"/>
      <c r="K13" s="862" t="n"/>
      <c r="L13" s="863" t="n"/>
      <c r="M13" s="862" t="n"/>
      <c r="N13" s="864" t="n">
        <v>0</v>
      </c>
      <c r="P13" s="865" t="n"/>
      <c r="Q13" s="866">
        <f>P13</f>
        <v/>
      </c>
      <c r="R13" s="867" t="n">
        <v>-1050000</v>
      </c>
      <c r="S13" s="867" t="n"/>
      <c r="T13" s="868" t="n"/>
      <c r="U13" s="806" t="n"/>
    </row>
    <row r="14" ht="21" customHeight="1" s="799" thickBot="1">
      <c r="D14" s="869" t="inlineStr">
        <is>
          <t>Appartments  Replacement Construction Costs</t>
        </is>
      </c>
      <c r="E14" s="870" t="n"/>
      <c r="F14" s="871" t="n"/>
      <c r="G14" s="872" t="n"/>
      <c r="H14" s="872" t="n"/>
      <c r="I14" s="872" t="n"/>
      <c r="J14" s="872" t="n"/>
      <c r="K14" s="872" t="n"/>
      <c r="L14" s="872" t="n"/>
      <c r="M14" s="872" t="n"/>
      <c r="N14" s="873" t="n">
        <v>0</v>
      </c>
      <c r="O14" s="874" t="n"/>
      <c r="P14" s="873" t="n"/>
      <c r="Q14" s="875">
        <f>P14</f>
        <v/>
      </c>
      <c r="R14" s="876" t="n">
        <v>-1500000</v>
      </c>
      <c r="S14" s="876" t="n"/>
      <c r="T14" s="877" t="n"/>
      <c r="U14" s="806" t="n"/>
    </row>
    <row r="15" ht="21" customHeight="1" s="799" thickBot="1">
      <c r="D15" s="878" t="n"/>
      <c r="E15" s="854" t="n"/>
      <c r="F15" s="862" t="n"/>
      <c r="G15" s="862" t="n"/>
      <c r="H15" s="862" t="n"/>
      <c r="I15" s="862" t="n"/>
      <c r="J15" s="862" t="n"/>
      <c r="K15" s="862" t="n"/>
      <c r="L15" s="863" t="n"/>
      <c r="M15" s="862" t="n"/>
      <c r="N15" s="864" t="n"/>
      <c r="P15" s="865" t="n"/>
      <c r="Q15" s="866" t="n"/>
      <c r="R15" s="867" t="n"/>
      <c r="S15" s="867" t="n"/>
      <c r="T15" s="867" t="n"/>
      <c r="U15" s="806" t="n"/>
    </row>
    <row r="16" ht="21" customHeight="1" s="799" thickBot="1">
      <c r="D16" s="879" t="inlineStr">
        <is>
          <t xml:space="preserve">OPEX </t>
        </is>
      </c>
      <c r="E16" s="880" t="n"/>
      <c r="F16" s="856" t="n"/>
      <c r="G16" s="856" t="n"/>
      <c r="H16" s="856" t="n"/>
      <c r="I16" s="856" t="n"/>
      <c r="J16" s="856" t="n"/>
      <c r="K16" s="856" t="n"/>
      <c r="L16" s="856" t="n"/>
      <c r="M16" s="856" t="n"/>
      <c r="N16" s="881" t="n"/>
      <c r="O16" s="828" t="n"/>
      <c r="P16" s="881" t="n"/>
      <c r="Q16" s="882" t="n"/>
      <c r="R16" s="883" t="n"/>
      <c r="S16" s="883" t="n"/>
      <c r="T16" s="884" t="n"/>
      <c r="U16" s="806" t="n"/>
    </row>
    <row r="17" ht="22" customHeight="1" s="799" thickBot="1">
      <c r="D17" s="885" t="inlineStr">
        <is>
          <t>Settlement and Warranty Fund</t>
        </is>
      </c>
      <c r="E17" s="880" t="n"/>
      <c r="F17" s="856" t="n"/>
      <c r="G17" s="856" t="n"/>
      <c r="H17" s="856" t="n"/>
      <c r="I17" s="856" t="n"/>
      <c r="J17" s="856" t="n"/>
      <c r="K17" s="856" t="n"/>
      <c r="L17" s="856" t="n"/>
      <c r="M17" s="856" t="n"/>
      <c r="N17" s="881" t="n">
        <v>0</v>
      </c>
      <c r="O17" s="828" t="n"/>
      <c r="P17" s="881" t="n"/>
      <c r="Q17" s="882">
        <f>P17</f>
        <v/>
      </c>
      <c r="R17" s="883" t="n">
        <v>-4000000</v>
      </c>
      <c r="S17" s="883">
        <f>R17</f>
        <v/>
      </c>
      <c r="T17" s="884" t="n"/>
      <c r="U17" s="806" t="n"/>
    </row>
    <row r="18" ht="22" customHeight="1" s="799">
      <c r="B18" s="886" t="n"/>
      <c r="D18" s="887" t="inlineStr">
        <is>
          <t xml:space="preserve">Mandarin Hotel  Pre-Opening Costs  </t>
        </is>
      </c>
      <c r="E18" s="854" t="n"/>
      <c r="F18" s="862" t="n">
        <v>-340000</v>
      </c>
      <c r="G18" s="862" t="n">
        <v>-400000</v>
      </c>
      <c r="H18" s="862" t="n">
        <v>-550000</v>
      </c>
      <c r="I18" s="862" t="n">
        <v>-1150000</v>
      </c>
      <c r="J18" s="862" t="n">
        <v>-1110000</v>
      </c>
      <c r="K18" s="862" t="n">
        <v>-1110000</v>
      </c>
      <c r="L18" s="863" t="n"/>
      <c r="M18" s="862" t="n">
        <v>-980000</v>
      </c>
      <c r="N18" s="864" t="n">
        <v>-5640000</v>
      </c>
      <c r="O18" s="864" t="n"/>
      <c r="P18" s="866">
        <f>P19+P20</f>
        <v/>
      </c>
      <c r="Q18" s="866">
        <f>P18</f>
        <v/>
      </c>
      <c r="R18" s="865">
        <f>R19+R20</f>
        <v/>
      </c>
      <c r="S18" s="865">
        <f>R18+Q18</f>
        <v/>
      </c>
      <c r="T18" s="888" t="n"/>
      <c r="U18" s="806" t="n"/>
    </row>
    <row r="19" ht="21" customHeight="1" s="799">
      <c r="B19" s="889" t="n"/>
      <c r="D19" s="890" t="inlineStr">
        <is>
          <t>Hotel Staff</t>
        </is>
      </c>
      <c r="E19" s="891" t="n"/>
      <c r="F19" s="892" t="n">
        <v>-160000</v>
      </c>
      <c r="G19" s="892" t="n">
        <v>-190000</v>
      </c>
      <c r="H19" s="892" t="n">
        <v>-290000</v>
      </c>
      <c r="I19" s="892" t="n">
        <v>-890000</v>
      </c>
      <c r="J19" s="892" t="n">
        <v>-850000</v>
      </c>
      <c r="K19" s="892" t="n">
        <v>-850000</v>
      </c>
      <c r="L19" s="893" t="n"/>
      <c r="M19" s="892" t="n">
        <v>-850000</v>
      </c>
      <c r="N19" s="894" t="n">
        <v>-4080000</v>
      </c>
      <c r="P19" s="895" t="n">
        <v>-1700000</v>
      </c>
      <c r="Q19" s="866">
        <f>P19</f>
        <v/>
      </c>
      <c r="R19" s="896" t="n">
        <v>0</v>
      </c>
      <c r="S19" s="896" t="n"/>
      <c r="T19" s="888" t="n"/>
      <c r="U19" s="806" t="n"/>
    </row>
    <row r="20" ht="21" customHeight="1" s="799">
      <c r="D20" s="890" t="inlineStr">
        <is>
          <t>Marketing HotelCo and preopening costs</t>
        </is>
      </c>
      <c r="E20" s="891" t="n"/>
      <c r="F20" s="892" t="n">
        <v>-180000</v>
      </c>
      <c r="G20" s="892" t="n">
        <v>-210000</v>
      </c>
      <c r="H20" s="892" t="n">
        <v>-260000</v>
      </c>
      <c r="I20" s="892" t="n">
        <v>-260000</v>
      </c>
      <c r="J20" s="892" t="n">
        <v>-260000</v>
      </c>
      <c r="K20" s="892" t="n">
        <v>-260000</v>
      </c>
      <c r="L20" s="893" t="n"/>
      <c r="M20" s="892" t="n">
        <v>-130000</v>
      </c>
      <c r="N20" s="894" t="n">
        <v>-1560000</v>
      </c>
      <c r="P20" s="895" t="n">
        <v>-136000</v>
      </c>
      <c r="Q20" s="866">
        <f>P20</f>
        <v/>
      </c>
      <c r="R20" s="897" t="n">
        <v>-225000</v>
      </c>
      <c r="S20" s="866" t="n"/>
      <c r="T20" s="888" t="n"/>
      <c r="U20" s="806" t="n"/>
    </row>
    <row r="21" ht="21" customHeight="1" s="799">
      <c r="D21" s="890" t="inlineStr">
        <is>
          <t xml:space="preserve">Marketing AppartCo ( not yet calculated) </t>
        </is>
      </c>
      <c r="E21" s="891" t="n"/>
      <c r="F21" s="892" t="n"/>
      <c r="G21" s="892" t="n"/>
      <c r="H21" s="892" t="n"/>
      <c r="I21" s="892" t="n"/>
      <c r="J21" s="892" t="n"/>
      <c r="K21" s="892" t="n"/>
      <c r="L21" s="893" t="n"/>
      <c r="M21" s="892" t="n"/>
      <c r="N21" s="894" t="n">
        <v>0</v>
      </c>
      <c r="P21" s="896" t="n">
        <v>0</v>
      </c>
      <c r="Q21" s="866">
        <f>P21</f>
        <v/>
      </c>
      <c r="R21" s="389" t="n">
        <v>0</v>
      </c>
      <c r="S21" s="836" t="n"/>
      <c r="T21" s="888" t="n"/>
      <c r="U21" s="806" t="n"/>
    </row>
    <row r="22" ht="22" customHeight="1" s="799">
      <c r="D22" s="898" t="inlineStr">
        <is>
          <t>Working Capital liquidity Hotel</t>
        </is>
      </c>
      <c r="E22" s="891" t="n"/>
      <c r="F22" s="892" t="n"/>
      <c r="G22" s="892" t="n"/>
      <c r="H22" s="892" t="n"/>
      <c r="I22" s="892" t="n"/>
      <c r="J22" s="892" t="n"/>
      <c r="K22" s="892" t="n"/>
      <c r="L22" s="893" t="n"/>
      <c r="M22" s="892" t="n"/>
      <c r="N22" s="894" t="n">
        <v>0</v>
      </c>
      <c r="P22" s="836" t="n">
        <v>0</v>
      </c>
      <c r="Q22" s="866">
        <f>P22</f>
        <v/>
      </c>
      <c r="R22" s="895" t="n">
        <v>-1500000</v>
      </c>
      <c r="S22" s="895">
        <f>R22</f>
        <v/>
      </c>
      <c r="T22" s="888" t="n"/>
      <c r="U22" s="806" t="n"/>
    </row>
    <row r="23" ht="22" customHeight="1" s="799" thickBot="1">
      <c r="D23" s="899" t="inlineStr">
        <is>
          <t>OS&amp;E,IT and ART</t>
        </is>
      </c>
      <c r="E23" s="854" t="n"/>
      <c r="F23" s="872" t="n">
        <v>-1150000</v>
      </c>
      <c r="G23" s="872" t="n">
        <v>-1071000</v>
      </c>
      <c r="H23" s="872" t="n">
        <v>-350000</v>
      </c>
      <c r="I23" s="872" t="n">
        <v>-150000</v>
      </c>
      <c r="J23" s="872" t="n">
        <v>0</v>
      </c>
      <c r="K23" s="900" t="n">
        <v>0</v>
      </c>
      <c r="L23" s="900" t="n"/>
      <c r="M23" s="900" t="n">
        <v>0</v>
      </c>
      <c r="N23" s="897" t="n">
        <v>-2721000</v>
      </c>
      <c r="P23" s="901" t="n">
        <v>-851987</v>
      </c>
      <c r="Q23" s="902">
        <f>P23</f>
        <v/>
      </c>
      <c r="R23" s="897" t="n">
        <v>-395295</v>
      </c>
      <c r="S23" s="897">
        <f>R23</f>
        <v/>
      </c>
      <c r="T23" s="897" t="n"/>
      <c r="U23" s="806" t="n"/>
    </row>
    <row r="24" ht="21" customHeight="1" s="799">
      <c r="D24" s="898" t="inlineStr">
        <is>
          <t>sales Fee, property management</t>
        </is>
      </c>
      <c r="E24" s="854" t="n"/>
      <c r="F24" s="862" t="n"/>
      <c r="G24" s="862" t="n"/>
      <c r="H24" s="862" t="n"/>
      <c r="I24" s="862" t="n"/>
      <c r="J24" s="862" t="n"/>
      <c r="K24" s="903" t="n"/>
      <c r="L24" s="903" t="n"/>
      <c r="M24" s="903" t="n"/>
      <c r="N24" s="904" t="n">
        <v>0</v>
      </c>
      <c r="P24" s="905" t="n">
        <v>-1143556</v>
      </c>
      <c r="Q24" s="906">
        <f>P24</f>
        <v/>
      </c>
      <c r="R24" s="904" t="n">
        <v>-703531</v>
      </c>
      <c r="S24" s="897">
        <f>R24</f>
        <v/>
      </c>
      <c r="T24" s="904" t="n"/>
      <c r="U24" s="806" t="n"/>
    </row>
    <row r="25" ht="22" customHeight="1" s="799" thickBot="1">
      <c r="D25" s="899" t="inlineStr">
        <is>
          <t>Bank Interests</t>
        </is>
      </c>
      <c r="E25" s="854" t="n"/>
      <c r="F25" s="862" t="n"/>
      <c r="G25" s="862" t="n">
        <v>0</v>
      </c>
      <c r="H25" s="862" t="n">
        <v>0</v>
      </c>
      <c r="I25" s="862" t="n">
        <v>0</v>
      </c>
      <c r="J25" s="862" t="n">
        <v>-3000000</v>
      </c>
      <c r="K25" s="903" t="n">
        <v>0</v>
      </c>
      <c r="L25" s="903" t="n"/>
      <c r="M25" s="903" t="n">
        <v>0</v>
      </c>
      <c r="N25" s="904" t="n">
        <v>-3000000</v>
      </c>
      <c r="P25" s="905" t="n">
        <v>-1049140</v>
      </c>
      <c r="Q25" s="906">
        <f>P25</f>
        <v/>
      </c>
      <c r="R25" s="904" t="n">
        <v>-3375964</v>
      </c>
      <c r="S25" s="897">
        <f>R25</f>
        <v/>
      </c>
      <c r="T25" s="904" t="n"/>
      <c r="U25" s="806" t="n"/>
    </row>
    <row r="26" ht="22" customHeight="1" s="799" thickBot="1">
      <c r="D26" s="899" t="inlineStr">
        <is>
          <t>VAT and Taxes</t>
        </is>
      </c>
      <c r="E26" s="854" t="n"/>
      <c r="F26" s="856" t="n">
        <v>-280000</v>
      </c>
      <c r="G26" s="856" t="n">
        <v>-280000</v>
      </c>
      <c r="H26" s="856" t="n">
        <v>-280000</v>
      </c>
      <c r="I26" s="856" t="n">
        <v>-280000</v>
      </c>
      <c r="J26" s="856" t="n">
        <v>0</v>
      </c>
      <c r="K26" s="903" t="n">
        <v>0</v>
      </c>
      <c r="L26" s="903" t="n"/>
      <c r="M26" s="903" t="n">
        <v>0</v>
      </c>
      <c r="N26" s="904" t="n">
        <v>-1120000</v>
      </c>
      <c r="P26" s="905" t="n">
        <v>373300</v>
      </c>
      <c r="Q26" s="906">
        <f>P26</f>
        <v/>
      </c>
      <c r="R26" s="906" t="n">
        <v>-5770000</v>
      </c>
      <c r="S26" s="895">
        <f>R26</f>
        <v/>
      </c>
      <c r="T26" s="904" t="n"/>
      <c r="U26" s="806" t="n"/>
    </row>
    <row r="27" ht="22" customHeight="1" s="799" thickBot="1">
      <c r="D27" s="907" t="inlineStr">
        <is>
          <t>Total Uses</t>
        </is>
      </c>
      <c r="E27" s="908" t="n"/>
      <c r="F27" s="909" t="n">
        <v>-6090606</v>
      </c>
      <c r="G27" s="909" t="n">
        <v>-8012022.329166664</v>
      </c>
      <c r="H27" s="909" t="n">
        <v>-7541022.329166664</v>
      </c>
      <c r="I27" s="909" t="n">
        <v>-8582685.329166664</v>
      </c>
      <c r="J27" s="910" t="n">
        <v>-9136592.8125</v>
      </c>
      <c r="K27" s="911" t="n">
        <v>-2208625</v>
      </c>
      <c r="L27" s="911" t="n"/>
      <c r="M27" s="911" t="n">
        <v>-2650000</v>
      </c>
      <c r="N27" s="912" t="n">
        <v>-44221553.79999999</v>
      </c>
      <c r="O27" s="874" t="n"/>
      <c r="P27" s="913">
        <f>P12+P13+P14+P17+P18+P21+P22+P23+P24+P25+P26</f>
        <v/>
      </c>
      <c r="Q27" s="914">
        <f>Q12+Q13+Q14+Q17+Q18+Q21+Q22+Q23+Q24+Q25+Q26</f>
        <v/>
      </c>
      <c r="R27" s="914">
        <f>R12+R13+R14+R17+R18+R19+R20+R21+R22+R23+R24+R25+R26</f>
        <v/>
      </c>
      <c r="S27" s="914">
        <f>R27+Q27</f>
        <v/>
      </c>
      <c r="T27" s="912" t="n"/>
      <c r="U27" s="806" t="n"/>
    </row>
    <row r="28" ht="20" customHeight="1" s="799">
      <c r="D28" s="889" t="n"/>
      <c r="E28" s="915" t="n"/>
      <c r="F28" s="916" t="n"/>
      <c r="G28" s="916" t="n"/>
      <c r="H28" s="916" t="n"/>
      <c r="I28" s="916" t="n"/>
      <c r="J28" s="916" t="n"/>
      <c r="K28" s="916" t="n"/>
      <c r="L28" s="917" t="n"/>
      <c r="M28" s="916" t="n"/>
      <c r="N28" s="918" t="n"/>
      <c r="P28" s="836" t="n"/>
      <c r="Q28" s="836" t="n"/>
      <c r="R28" s="836" t="n"/>
      <c r="S28" s="836" t="n"/>
      <c r="T28" s="836" t="n"/>
      <c r="U28" s="806" t="n"/>
    </row>
    <row r="29" ht="18" customHeight="1" s="799" thickBot="1">
      <c r="D29" s="919" t="inlineStr">
        <is>
          <t>Sources</t>
        </is>
      </c>
      <c r="E29" s="832" t="n"/>
      <c r="F29" s="920" t="n"/>
      <c r="G29" s="921" t="n"/>
      <c r="H29" s="921" t="n"/>
      <c r="I29" s="921" t="n"/>
      <c r="J29" s="921" t="n"/>
      <c r="K29" s="922" t="n"/>
      <c r="L29" s="922" t="n"/>
      <c r="M29" s="922" t="n"/>
      <c r="N29" s="923" t="n"/>
      <c r="P29" s="924" t="n"/>
      <c r="Q29" s="923" t="n"/>
      <c r="R29" s="923" t="n"/>
      <c r="S29" s="923" t="n"/>
      <c r="T29" s="923" t="n"/>
      <c r="U29" s="806" t="n"/>
    </row>
    <row r="30" ht="21" customHeight="1" s="799">
      <c r="D30" s="925" t="inlineStr">
        <is>
          <t>Bank Finance</t>
        </is>
      </c>
      <c r="E30" s="915" t="n"/>
      <c r="F30" s="840" t="n">
        <v>6090606</v>
      </c>
      <c r="G30" s="840" t="n">
        <v>8012022</v>
      </c>
      <c r="H30" s="840" t="n">
        <v>711926</v>
      </c>
      <c r="I30" s="840" t="n">
        <v>0</v>
      </c>
      <c r="J30" s="840" t="n">
        <v>0</v>
      </c>
      <c r="K30" s="926" t="n">
        <v>0</v>
      </c>
      <c r="L30" s="926" t="n"/>
      <c r="M30" s="926" t="n">
        <v>0</v>
      </c>
      <c r="N30" s="843" t="n">
        <v>14814554</v>
      </c>
      <c r="P30" s="927" t="n"/>
      <c r="Q30" s="928" t="n"/>
      <c r="R30" s="929" t="n"/>
      <c r="S30" s="929" t="n"/>
      <c r="T30" s="926" t="n"/>
      <c r="U30" s="806" t="n"/>
    </row>
    <row r="31" ht="21" customHeight="1" s="799">
      <c r="D31" s="930" t="inlineStr">
        <is>
          <t xml:space="preserve">Sales of Appartments </t>
        </is>
      </c>
      <c r="E31" s="854" t="n"/>
      <c r="F31" s="864" t="n"/>
      <c r="G31" s="864" t="n"/>
      <c r="H31" s="864" t="n"/>
      <c r="I31" s="864" t="n"/>
      <c r="J31" s="864" t="n"/>
      <c r="K31" s="926" t="n"/>
      <c r="L31" s="926" t="n"/>
      <c r="M31" s="926" t="n"/>
      <c r="N31" s="931" t="n">
        <v>0</v>
      </c>
      <c r="P31" s="927" t="n"/>
      <c r="Q31" s="928" t="n"/>
      <c r="R31" s="932" t="n">
        <v>4430118</v>
      </c>
      <c r="S31" s="932">
        <f>P31+R31</f>
        <v/>
      </c>
      <c r="T31" s="926">
        <f>'[1]BC Rev TL CF'!W31</f>
        <v/>
      </c>
      <c r="U31" s="806" t="n"/>
    </row>
    <row r="32" ht="21" customHeight="1" s="799">
      <c r="D32" s="933" t="inlineStr">
        <is>
          <t xml:space="preserve">S'Holder Total Capital Injection </t>
        </is>
      </c>
      <c r="E32" s="934" t="n"/>
      <c r="G32" s="935" t="n"/>
      <c r="H32" s="935" t="n">
        <v>6829096.329166664</v>
      </c>
      <c r="I32" s="935" t="n">
        <v>8582685.329166664</v>
      </c>
      <c r="J32" s="935" t="n">
        <v>9136592.8125</v>
      </c>
      <c r="K32" s="936" t="n">
        <v>2208625</v>
      </c>
      <c r="L32" s="936" t="n"/>
      <c r="M32" s="936" t="n">
        <v>2650000</v>
      </c>
      <c r="N32" s="937" t="n">
        <v>29406999.47083333</v>
      </c>
      <c r="P32" s="938" t="n"/>
      <c r="Q32" s="939" t="n"/>
      <c r="R32" s="929" t="n"/>
      <c r="S32" s="932">
        <f>P32+R32</f>
        <v/>
      </c>
      <c r="T32" s="926" t="n"/>
      <c r="U32" s="806" t="n"/>
    </row>
    <row r="33" ht="21" customHeight="1" s="799">
      <c r="D33" s="940" t="inlineStr">
        <is>
          <t>Fund ( 52%) Actual Capital Injection</t>
        </is>
      </c>
      <c r="E33" s="345" t="n">
        <v>0.52</v>
      </c>
      <c r="F33" s="941" t="n"/>
      <c r="G33" s="941" t="n">
        <v>0</v>
      </c>
      <c r="H33" s="942" t="n">
        <v>3551130.091166665</v>
      </c>
      <c r="I33" s="942" t="n">
        <v>4462996.371166665</v>
      </c>
      <c r="J33" s="942" t="n">
        <v>4751028.2625</v>
      </c>
      <c r="K33" s="943" t="n">
        <v>1148485</v>
      </c>
      <c r="L33" s="943" t="n"/>
      <c r="M33" s="943" t="n">
        <v>1378000</v>
      </c>
      <c r="N33" s="942" t="n">
        <v>15291639.72483333</v>
      </c>
      <c r="P33" s="927">
        <f>'[1]BC Rev TL CF'!AD33</f>
        <v/>
      </c>
      <c r="Q33" s="944" t="n"/>
      <c r="R33" s="927">
        <f>'[1]BC Rev TL CF'!W32+'[1]BC Rev TL CF'!X32+'[1]BC Rev TL CF'!Z32</f>
        <v/>
      </c>
      <c r="S33" s="932">
        <f>P33+R33</f>
        <v/>
      </c>
      <c r="T33" s="926">
        <f>(S27+S31+T31)*0.52*-1-S33</f>
        <v/>
      </c>
      <c r="U33" s="806" t="n"/>
    </row>
    <row r="34" ht="21" customHeight="1" s="799">
      <c r="D34" s="940" t="inlineStr">
        <is>
          <t>Aelios (48%) Actual Capital Injection</t>
        </is>
      </c>
      <c r="E34" s="345" t="n">
        <v>0.48</v>
      </c>
      <c r="F34" s="945" t="n"/>
      <c r="G34" s="945" t="n">
        <v>0</v>
      </c>
      <c r="H34" s="945" t="n">
        <v>0</v>
      </c>
      <c r="I34" s="945" t="n">
        <v>0</v>
      </c>
      <c r="J34" s="942" t="n">
        <v>4800000</v>
      </c>
      <c r="K34" s="943" t="n">
        <v>1060140</v>
      </c>
      <c r="L34" s="943" t="n"/>
      <c r="M34" s="943" t="n">
        <v>1272000</v>
      </c>
      <c r="N34" s="942" t="n">
        <v>14115359.746</v>
      </c>
      <c r="P34" s="946" t="n"/>
      <c r="Q34" s="944" t="n"/>
      <c r="R34" s="947" t="n">
        <v>2500000</v>
      </c>
      <c r="S34" s="947">
        <f>P34+R34</f>
        <v/>
      </c>
      <c r="T34" s="926">
        <f>(S27+S31+T31)*0.48*-1-S34</f>
        <v/>
      </c>
      <c r="U34" s="806" t="n"/>
    </row>
    <row r="35" ht="22" customHeight="1" s="799" thickBot="1">
      <c r="D35" s="948" t="inlineStr">
        <is>
          <t>Total Sources</t>
        </is>
      </c>
      <c r="E35" s="934" t="n"/>
      <c r="F35" s="949" t="n">
        <v>6090606</v>
      </c>
      <c r="G35" s="949" t="n">
        <v>8012022</v>
      </c>
      <c r="H35" s="949" t="n">
        <v>7541022.329166664</v>
      </c>
      <c r="I35" s="949" t="n">
        <v>8582685.329166664</v>
      </c>
      <c r="J35" s="949" t="n">
        <v>9136592.8125</v>
      </c>
      <c r="K35" s="949" t="n">
        <v>2208625</v>
      </c>
      <c r="L35" s="949" t="n"/>
      <c r="M35" s="949" t="n">
        <v>2650000</v>
      </c>
      <c r="N35" s="949" t="n">
        <v>29406999.47083333</v>
      </c>
      <c r="P35" s="950">
        <f>P30+P33+P31+P32</f>
        <v/>
      </c>
      <c r="Q35" s="950" t="n"/>
      <c r="R35" s="951">
        <f>SUM(R30:R34)</f>
        <v/>
      </c>
      <c r="S35" s="951">
        <f>SUM(S30:S34)</f>
        <v/>
      </c>
      <c r="T35" s="951">
        <f>SUM(T30:T34)</f>
        <v/>
      </c>
      <c r="U35" s="806" t="n"/>
    </row>
    <row r="36" ht="22" customHeight="1" s="799" thickBot="1">
      <c r="D36" s="952" t="inlineStr">
        <is>
          <t>Balance at the end of period</t>
        </is>
      </c>
      <c r="E36" s="915" t="n"/>
      <c r="F36" s="881" t="n"/>
      <c r="G36" s="881" t="n">
        <v>-0.3291666638106108</v>
      </c>
      <c r="H36" s="881" t="n">
        <v>0</v>
      </c>
      <c r="I36" s="881" t="n">
        <v>0</v>
      </c>
      <c r="J36" s="881" t="n">
        <v>0</v>
      </c>
      <c r="K36" s="926" t="n">
        <v>0</v>
      </c>
      <c r="L36" s="926" t="n"/>
      <c r="M36" s="926" t="n">
        <v>0</v>
      </c>
      <c r="N36" s="953" t="n"/>
      <c r="P36" s="954">
        <f>P10+P27+P35</f>
        <v/>
      </c>
      <c r="Q36" s="955" t="n"/>
      <c r="R36" s="956">
        <f>R10+R27+R35</f>
        <v/>
      </c>
      <c r="S36" s="956">
        <f>S27+S35</f>
        <v/>
      </c>
      <c r="T36" s="957" t="n"/>
      <c r="U36" s="806" t="n"/>
    </row>
    <row r="37" ht="21" customHeight="1" s="799" thickBot="1">
      <c r="D37" s="958" t="n"/>
      <c r="E37" s="934" t="n"/>
      <c r="F37" s="959" t="n"/>
      <c r="G37" s="959" t="n"/>
      <c r="H37" s="959" t="n"/>
      <c r="I37" s="959" t="n"/>
      <c r="J37" s="959" t="n"/>
      <c r="K37" s="949" t="n"/>
      <c r="L37" s="949" t="n"/>
      <c r="M37" s="949" t="n"/>
      <c r="N37" s="864" t="n"/>
      <c r="P37" s="801" t="n"/>
    </row>
    <row r="38" ht="24" customHeight="1" s="799" thickBot="1">
      <c r="C38" s="395" t="inlineStr">
        <is>
          <t>B</t>
        </is>
      </c>
      <c r="D38" s="960" t="inlineStr">
        <is>
          <t xml:space="preserve">Aelios (48%)  </t>
        </is>
      </c>
      <c r="E38" s="934" t="n"/>
      <c r="F38" s="826" t="n"/>
      <c r="G38" s="826" t="n"/>
      <c r="H38" s="826" t="n"/>
      <c r="I38" s="961" t="inlineStr">
        <is>
          <t xml:space="preserve">If no income from  sales of appartments untill September 2025  </t>
        </is>
      </c>
      <c r="J38" s="826" t="n"/>
      <c r="K38" s="962" t="n"/>
      <c r="L38" s="962" t="n"/>
      <c r="M38" s="962" t="n"/>
      <c r="N38" s="963" t="n"/>
      <c r="P38" s="801" t="n"/>
    </row>
    <row r="39" ht="22" customHeight="1" s="799" thickBot="1">
      <c r="D39" s="964" t="inlineStr">
        <is>
          <t xml:space="preserve">Aelios Contractually Due Capital Injection   </t>
        </is>
      </c>
      <c r="E39" s="345" t="n"/>
      <c r="F39" s="965" t="n">
        <v>3033393</v>
      </c>
      <c r="G39" s="965" t="n"/>
      <c r="H39" s="965" t="n">
        <v>3277966.237999998</v>
      </c>
      <c r="I39" s="965" t="n">
        <v>4119688.957999999</v>
      </c>
      <c r="J39" s="965" t="n">
        <v>4385564.55</v>
      </c>
      <c r="K39" s="966" t="n">
        <v>1060140</v>
      </c>
      <c r="L39" s="966" t="n"/>
      <c r="M39" s="966" t="n">
        <v>1272000</v>
      </c>
      <c r="N39" s="967" t="n">
        <v>17148752.746</v>
      </c>
      <c r="P39" s="801" t="n"/>
    </row>
    <row r="40" ht="22" customHeight="1" s="799" thickBot="1">
      <c r="D40" s="968" t="inlineStr">
        <is>
          <t xml:space="preserve">Aelios Contractual due for  Shares of Appartco </t>
        </is>
      </c>
      <c r="E40" s="345" t="n"/>
      <c r="F40" s="894" t="n"/>
      <c r="G40" s="894" t="n">
        <v>5800000</v>
      </c>
      <c r="H40" s="894" t="n"/>
      <c r="I40" s="894" t="n"/>
      <c r="J40" s="894" t="n"/>
      <c r="K40" s="969" t="n"/>
      <c r="L40" s="969" t="n"/>
      <c r="M40" s="969" t="n"/>
      <c r="N40" s="967" t="n">
        <v>5800000</v>
      </c>
      <c r="P40" s="801" t="n"/>
    </row>
    <row r="41" ht="22" customHeight="1" s="799" thickBot="1">
      <c r="D41" s="970" t="inlineStr">
        <is>
          <t>Total Pmts</t>
        </is>
      </c>
      <c r="E41" s="346" t="n"/>
      <c r="F41" s="971" t="n">
        <v>3033393</v>
      </c>
      <c r="G41" s="972" t="n">
        <v>5800000</v>
      </c>
      <c r="H41" s="972" t="n">
        <v>3277966.237999998</v>
      </c>
      <c r="I41" s="972" t="n">
        <v>4119688.957999999</v>
      </c>
      <c r="J41" s="972" t="n">
        <v>4385564.55</v>
      </c>
      <c r="K41" s="973" t="n">
        <v>1060140</v>
      </c>
      <c r="L41" s="973" t="n"/>
      <c r="M41" s="973" t="n">
        <v>1272000</v>
      </c>
      <c r="N41" s="974" t="n">
        <v>22948752.746</v>
      </c>
      <c r="P41" s="801" t="n"/>
    </row>
    <row r="42" ht="21" customFormat="1" customHeight="1" s="975">
      <c r="D42" s="976" t="inlineStr">
        <is>
          <t xml:space="preserve">Aelios  Actually Invested &amp; Agreed </t>
        </is>
      </c>
      <c r="E42" s="347" t="n"/>
      <c r="F42" s="977" t="n">
        <v>0</v>
      </c>
      <c r="G42" s="977" t="n">
        <v>5500000</v>
      </c>
      <c r="H42" s="977" t="n">
        <v>0</v>
      </c>
      <c r="I42" s="977" t="n">
        <v>0</v>
      </c>
      <c r="J42" s="977" t="n">
        <v>4800000</v>
      </c>
      <c r="K42" s="978" t="n"/>
      <c r="L42" s="978" t="n"/>
      <c r="M42" s="978" t="n"/>
      <c r="N42" s="979" t="n">
        <v>10300000</v>
      </c>
      <c r="P42" s="980" t="n"/>
    </row>
    <row r="43" ht="22" customFormat="1" customHeight="1" s="975" thickBot="1">
      <c r="D43" s="981" t="inlineStr">
        <is>
          <t xml:space="preserve">Aelios  Overdue </t>
        </is>
      </c>
      <c r="E43" s="348" t="n"/>
      <c r="F43" s="875" t="n">
        <v>3033393</v>
      </c>
      <c r="G43" s="982" t="n">
        <v>300000</v>
      </c>
      <c r="H43" s="982" t="n">
        <v>3277966.237999998</v>
      </c>
      <c r="I43" s="982" t="n">
        <v>4119688.957999999</v>
      </c>
      <c r="J43" s="982" t="n">
        <v>-414435.4500000002</v>
      </c>
      <c r="K43" s="983" t="n">
        <v>1060140</v>
      </c>
      <c r="L43" s="983" t="n"/>
      <c r="M43" s="983" t="n">
        <v>1272000</v>
      </c>
      <c r="N43" s="875" t="n">
        <v>12648752.746</v>
      </c>
      <c r="P43" s="980" t="n"/>
    </row>
    <row r="44" ht="22" customHeight="1" s="799" thickBot="1">
      <c r="D44" s="981" t="inlineStr">
        <is>
          <t xml:space="preserve">Aelios Accumulative Overdue </t>
        </is>
      </c>
      <c r="E44" s="934" t="n"/>
      <c r="F44" s="882" t="n">
        <v>3033393</v>
      </c>
      <c r="G44" s="984" t="n">
        <v>3333393</v>
      </c>
      <c r="H44" s="984" t="n">
        <v>6611359.237999998</v>
      </c>
      <c r="I44" s="984" t="n">
        <v>10731048.196</v>
      </c>
      <c r="J44" s="984" t="n">
        <v>10316612.746</v>
      </c>
      <c r="K44" s="983" t="n">
        <v>11376752.746</v>
      </c>
      <c r="L44" s="983" t="n"/>
      <c r="M44" s="983" t="n">
        <v>12648752.746</v>
      </c>
      <c r="N44" s="875" t="n">
        <v>12648752.746</v>
      </c>
      <c r="P44" s="801" t="n"/>
    </row>
    <row r="45">
      <c r="P45" s="801" t="n"/>
    </row>
    <row r="46" hidden="1" s="799"/>
    <row r="47" hidden="1" ht="24" customHeight="1" s="799">
      <c r="C47" s="395" t="inlineStr">
        <is>
          <t>C</t>
        </is>
      </c>
      <c r="D47" s="960" t="inlineStr">
        <is>
          <t xml:space="preserve">Fund  ( 52%) </t>
        </is>
      </c>
      <c r="E47" s="934" t="n"/>
      <c r="F47" s="826" t="n"/>
      <c r="G47" s="826" t="n"/>
      <c r="H47" s="826" t="n"/>
      <c r="I47" s="961" t="inlineStr">
        <is>
          <t xml:space="preserve">If no income from sales of appartments untill September 2025  </t>
        </is>
      </c>
      <c r="J47" s="826" t="n"/>
      <c r="K47" s="826" t="n"/>
      <c r="L47" s="826" t="n"/>
      <c r="M47" s="826" t="n"/>
      <c r="N47" s="963" t="n"/>
    </row>
    <row r="48" hidden="1" ht="21" customHeight="1" s="799">
      <c r="D48" s="964" t="inlineStr">
        <is>
          <t>Fund Contractually due  Capital Injection</t>
        </is>
      </c>
      <c r="E48" s="345" t="n"/>
      <c r="F48" s="965" t="n">
        <v>0</v>
      </c>
      <c r="G48" s="965" t="n">
        <v>0</v>
      </c>
      <c r="H48" s="965" t="n">
        <v>-3551130.091166665</v>
      </c>
      <c r="I48" s="965" t="n">
        <v>-4462996.371166665</v>
      </c>
      <c r="J48" s="965" t="n">
        <v>-4751028.2625</v>
      </c>
      <c r="K48" s="965" t="n">
        <v>-1148485</v>
      </c>
      <c r="L48" s="965" t="n"/>
      <c r="M48" s="965" t="n">
        <v>-1378000</v>
      </c>
      <c r="N48" s="967" t="n"/>
    </row>
    <row r="49" hidden="1" ht="21" customFormat="1" customHeight="1" s="975">
      <c r="D49" s="985" t="inlineStr">
        <is>
          <t xml:space="preserve">Fund Actually Invested </t>
        </is>
      </c>
      <c r="E49" s="347" t="n"/>
      <c r="F49" s="977" t="n">
        <v>3033393</v>
      </c>
      <c r="G49" s="977" t="n">
        <v>0</v>
      </c>
      <c r="H49" s="977" t="n">
        <v>3551130.091166665</v>
      </c>
      <c r="I49" s="977" t="n">
        <v>4462996.371166665</v>
      </c>
      <c r="J49" s="977" t="n">
        <v>4751028.2625</v>
      </c>
      <c r="K49" s="977" t="n">
        <v>1148485</v>
      </c>
      <c r="L49" s="986" t="n"/>
      <c r="M49" s="977" t="n">
        <v>1378000</v>
      </c>
      <c r="N49" s="987" t="n"/>
    </row>
    <row r="50" hidden="1" ht="22" customFormat="1" customHeight="1" s="988">
      <c r="D50" s="989" t="inlineStr">
        <is>
          <t xml:space="preserve">Fund Over-invested </t>
        </is>
      </c>
      <c r="E50" s="347" t="n"/>
      <c r="F50" s="990" t="n">
        <v>3033393</v>
      </c>
      <c r="G50" s="990" t="n">
        <v>0</v>
      </c>
      <c r="H50" s="990" t="n">
        <v>0</v>
      </c>
      <c r="I50" s="873" t="n">
        <v>0</v>
      </c>
      <c r="J50" s="873" t="n">
        <v>-414435.4500000002</v>
      </c>
      <c r="K50" s="873" t="n">
        <v>1060140</v>
      </c>
      <c r="L50" s="873" t="n"/>
      <c r="M50" s="873" t="n">
        <v>1272000</v>
      </c>
      <c r="N50" s="991" t="n">
        <v>4951097.55</v>
      </c>
    </row>
    <row r="51" hidden="1" ht="22" customFormat="1" customHeight="1" s="992">
      <c r="D51" s="993" t="inlineStr">
        <is>
          <t xml:space="preserve">Fund Over-invested Accumulated </t>
        </is>
      </c>
      <c r="E51" s="994" t="n"/>
      <c r="F51" s="995" t="n">
        <v>3033393</v>
      </c>
      <c r="G51" s="996" t="n">
        <v>3033393</v>
      </c>
      <c r="H51" s="996" t="n">
        <v>3033393</v>
      </c>
      <c r="I51" s="997" t="n">
        <v>3033393</v>
      </c>
      <c r="J51" s="997" t="n">
        <v>2618957.55</v>
      </c>
      <c r="K51" s="997" t="n">
        <v>3679097.55</v>
      </c>
      <c r="L51" s="997" t="n"/>
      <c r="M51" s="997" t="n">
        <v>4951097.55</v>
      </c>
      <c r="N51" s="998" t="n">
        <v>4951097.55</v>
      </c>
    </row>
    <row r="52" hidden="1" s="799">
      <c r="G52" s="999" t="n"/>
    </row>
    <row r="53" hidden="1" s="799">
      <c r="G53" s="999" t="n"/>
    </row>
    <row r="54">
      <c r="G54" s="999" t="n"/>
    </row>
    <row r="55" ht="48" customHeight="1" s="799" thickBot="1">
      <c r="F55" s="1000" t="inlineStr">
        <is>
          <t xml:space="preserve">Funding Provided by the Parties 
( before opening) </t>
        </is>
      </c>
      <c r="G55" s="1001" t="n"/>
      <c r="H55" s="1001" t="n"/>
      <c r="I55" s="1001" t="n"/>
      <c r="J55" s="1001" t="n"/>
      <c r="K55" s="1002" t="n"/>
      <c r="L55" s="1003" t="n"/>
      <c r="M55" s="1000" t="inlineStr">
        <is>
          <t xml:space="preserve">Funding 1 and Funding 2 Provided by the Parties 
( post opening) </t>
        </is>
      </c>
      <c r="N55" s="1001" t="n"/>
      <c r="O55" s="1001" t="n"/>
      <c r="P55" s="1001" t="n"/>
      <c r="Q55" s="1001" t="n"/>
    </row>
    <row r="56" ht="37" customFormat="1" customHeight="1" s="383">
      <c r="F56" s="471" t="inlineStr">
        <is>
          <t xml:space="preserve">Parties </t>
        </is>
      </c>
      <c r="G56" s="777" t="inlineStr">
        <is>
          <t>by 31.06.2025</t>
        </is>
      </c>
      <c r="H56" s="1004" t="n"/>
      <c r="I56" s="777" t="inlineStr">
        <is>
          <t>by 31.10.2025</t>
        </is>
      </c>
      <c r="J56" s="1004" t="n"/>
      <c r="K56" s="472" t="n"/>
      <c r="L56" s="591" t="n"/>
      <c r="M56" s="1005" t="inlineStr">
        <is>
          <t xml:space="preserve">Parties </t>
        </is>
      </c>
      <c r="N56" s="1006" t="inlineStr">
        <is>
          <t>31.09.2025 -  31.12.2025</t>
        </is>
      </c>
      <c r="O56" s="1004" t="n"/>
      <c r="P56" s="1006" t="inlineStr">
        <is>
          <t>31.12.2025 - 31.03.2026</t>
        </is>
      </c>
      <c r="Q56" s="1004" t="n"/>
      <c r="T56" s="390" t="n"/>
      <c r="U56" s="390" t="n"/>
      <c r="V56" s="390" t="n"/>
    </row>
    <row r="57" ht="36" customFormat="1" customHeight="1" s="1007">
      <c r="F57" s="1008" t="n"/>
      <c r="G57" s="1009" t="inlineStr">
        <is>
          <t xml:space="preserve">Required Funding </t>
        </is>
      </c>
      <c r="H57" s="1010" t="inlineStr">
        <is>
          <t xml:space="preserve">Parties Loans Provided </t>
        </is>
      </c>
      <c r="I57" s="1009" t="inlineStr">
        <is>
          <t xml:space="preserve">Required Funding </t>
        </is>
      </c>
      <c r="J57" s="1011" t="inlineStr">
        <is>
          <t xml:space="preserve">Parties Loans Provided </t>
        </is>
      </c>
      <c r="K57" s="1012" t="n"/>
      <c r="L57" s="1013" t="n"/>
      <c r="M57" s="1014" t="n"/>
      <c r="N57" s="1009" t="inlineStr">
        <is>
          <t>Required Additional Funding 1</t>
        </is>
      </c>
      <c r="O57" s="1015" t="inlineStr">
        <is>
          <t xml:space="preserve">Parties Loans Provided </t>
        </is>
      </c>
      <c r="P57" s="1009" t="inlineStr">
        <is>
          <t>Required Additional Funding 2</t>
        </is>
      </c>
      <c r="Q57" s="1016" t="inlineStr">
        <is>
          <t xml:space="preserve">Parties Loans Provided </t>
        </is>
      </c>
      <c r="T57" s="1017" t="n"/>
      <c r="U57" s="1017" t="n"/>
      <c r="V57" s="1017" t="n"/>
    </row>
    <row r="58" customFormat="1" s="1007">
      <c r="F58" s="1018" t="n"/>
      <c r="G58" s="1019" t="n"/>
      <c r="H58" s="1019" t="n"/>
      <c r="I58" s="1019" t="n"/>
      <c r="J58" s="1020" t="n"/>
      <c r="K58" s="1012" t="n"/>
      <c r="L58" s="1013" t="n"/>
      <c r="M58" s="1014" t="n"/>
      <c r="N58" s="1015" t="n"/>
      <c r="O58" s="1021" t="n"/>
      <c r="P58" s="1022" t="n"/>
      <c r="Q58" s="1023" t="n"/>
      <c r="T58" s="1017" t="n"/>
      <c r="U58" s="1017" t="n"/>
      <c r="V58" s="1017" t="n"/>
    </row>
    <row r="59" ht="17" customFormat="1" customHeight="1" s="1007">
      <c r="F59" s="1024" t="inlineStr">
        <is>
          <t>Fund (52%)</t>
        </is>
      </c>
      <c r="G59" s="1025" t="n">
        <v>15291640</v>
      </c>
      <c r="H59" s="1025" t="n">
        <v>15333393</v>
      </c>
      <c r="I59" s="1025" t="n">
        <v>18577815</v>
      </c>
      <c r="J59" s="1026" t="n">
        <v>18577815</v>
      </c>
      <c r="K59" s="1012" t="n"/>
      <c r="L59" s="1013" t="n"/>
      <c r="M59" s="1024" t="inlineStr">
        <is>
          <t>Fund (52%)</t>
        </is>
      </c>
      <c r="N59" s="1027" t="n">
        <v>3041397.361600005</v>
      </c>
      <c r="O59" s="1027" t="n">
        <v>5738338.951</v>
      </c>
      <c r="P59" s="1027" t="n">
        <v>2539295.72</v>
      </c>
      <c r="Q59" s="492" t="n">
        <v>2383261</v>
      </c>
      <c r="T59" s="1017" t="n"/>
      <c r="U59" s="1017" t="n"/>
      <c r="V59" s="1017" t="n"/>
    </row>
    <row r="60" ht="17" customFormat="1" customHeight="1" s="1007">
      <c r="F60" s="1024" t="inlineStr">
        <is>
          <t>Aelios (48%)</t>
        </is>
      </c>
      <c r="G60" s="1025" t="n">
        <v>14115360</v>
      </c>
      <c r="H60" s="1025" t="n">
        <v>4800000</v>
      </c>
      <c r="I60" s="1025" t="n">
        <v>17148752</v>
      </c>
      <c r="J60" s="1026" t="n">
        <v>17148752</v>
      </c>
      <c r="K60" s="1012" t="n"/>
      <c r="L60" s="1013" t="n"/>
      <c r="M60" s="1024" t="inlineStr">
        <is>
          <t>Aelios (48%)</t>
        </is>
      </c>
      <c r="N60" s="1027" t="n">
        <v>2807443.718400004</v>
      </c>
      <c r="O60" s="493" t="inlineStr">
        <is>
          <t xml:space="preserve">not provided </t>
        </is>
      </c>
      <c r="P60" s="1027" t="n">
        <v>2343965.28</v>
      </c>
      <c r="Q60" s="492" t="n">
        <v>2500000</v>
      </c>
      <c r="T60" s="1017" t="n"/>
      <c r="U60" s="1017" t="n"/>
      <c r="V60" s="1017" t="n"/>
    </row>
    <row r="61" ht="18" customFormat="1" customHeight="1" s="1028" thickBot="1">
      <c r="F61" s="1029" t="inlineStr">
        <is>
          <t>Total for the Period</t>
        </is>
      </c>
      <c r="G61" s="1030" t="n">
        <v>29407000</v>
      </c>
      <c r="H61" s="1031" t="n">
        <v>20133393</v>
      </c>
      <c r="I61" s="1032" t="n">
        <v>35726567</v>
      </c>
      <c r="J61" s="1033" t="n">
        <v>35726567</v>
      </c>
      <c r="K61" s="1034" t="n"/>
      <c r="L61" s="1034" t="n"/>
      <c r="M61" s="1029" t="inlineStr">
        <is>
          <t>Total for the Period</t>
        </is>
      </c>
      <c r="N61" s="1035" t="n">
        <v>5848841.080000009</v>
      </c>
      <c r="O61" s="501" t="n">
        <v>5738338.95</v>
      </c>
      <c r="P61" s="1035" t="n">
        <v>4883261</v>
      </c>
      <c r="Q61" s="502" t="n">
        <v>4883261</v>
      </c>
      <c r="R61" s="422" t="n"/>
      <c r="S61" s="422" t="n"/>
      <c r="T61" s="1017" t="n"/>
      <c r="U61" s="1017" t="n"/>
      <c r="V61" s="1017" t="n"/>
    </row>
    <row r="62" ht="18" customFormat="1" customHeight="1" s="1028">
      <c r="F62" s="1034" t="n"/>
      <c r="G62" s="1034" t="n"/>
      <c r="H62" s="1034" t="n"/>
      <c r="I62" s="1034" t="n"/>
      <c r="J62" s="1034" t="n"/>
      <c r="K62" s="1036" t="n"/>
      <c r="L62" s="1036" t="n"/>
      <c r="M62" s="1034" t="n"/>
      <c r="N62" s="1037" t="n"/>
      <c r="O62" s="1038" t="n"/>
      <c r="P62" s="1038" t="n"/>
      <c r="Q62" s="506" t="n"/>
      <c r="R62" s="422" t="n"/>
      <c r="S62" s="422" t="n"/>
      <c r="T62" s="1017" t="n"/>
      <c r="U62" s="1017" t="n"/>
      <c r="V62" s="1017" t="n"/>
    </row>
    <row r="63" ht="51" customFormat="1" customHeight="1" s="1028" thickBot="1">
      <c r="F63" s="1000" t="inlineStr">
        <is>
          <t xml:space="preserve">Required Funding  by the Parties 
 ( April Jun 2026)
</t>
        </is>
      </c>
      <c r="G63" s="1001" t="n"/>
      <c r="H63" s="1001" t="n"/>
      <c r="I63" s="1001" t="n"/>
      <c r="J63" s="1001" t="n"/>
      <c r="K63" s="1034" t="n"/>
      <c r="L63" s="1034" t="n"/>
      <c r="M63" s="1000" t="inlineStr">
        <is>
          <t>Parties Funding per OPEX/CAPEX</t>
        </is>
      </c>
      <c r="N63" s="1001" t="n"/>
      <c r="O63" s="1001" t="n"/>
      <c r="P63" s="1001" t="n"/>
      <c r="Q63" s="1001" t="n"/>
      <c r="R63" s="422" t="n"/>
      <c r="S63" s="422" t="n"/>
      <c r="T63" s="1017" t="n"/>
      <c r="U63" s="1017" t="n"/>
      <c r="V63" s="1017" t="n"/>
    </row>
    <row r="64" ht="18" customFormat="1" customHeight="1" s="1028" thickBot="1">
      <c r="F64" s="1005" t="inlineStr">
        <is>
          <t xml:space="preserve">Parties </t>
        </is>
      </c>
      <c r="G64" s="1039" t="inlineStr">
        <is>
          <t xml:space="preserve">by 31.03.2026 </t>
        </is>
      </c>
      <c r="H64" s="1040" t="n"/>
      <c r="I64" s="1040" t="n"/>
      <c r="J64" s="1041" t="n"/>
      <c r="K64" s="1034" t="n"/>
      <c r="L64" s="1034" t="n"/>
      <c r="M64" s="1042" t="inlineStr">
        <is>
          <t>Asset Allocation</t>
        </is>
      </c>
      <c r="N64" s="1043" t="inlineStr">
        <is>
          <t>by 31.06.2025</t>
        </is>
      </c>
      <c r="O64" s="1043" t="inlineStr">
        <is>
          <t>from 31.09.2025 till 31.12.2025</t>
        </is>
      </c>
      <c r="P64" s="1043" t="inlineStr">
        <is>
          <t>from 31.12.2025 till 31.03.2026</t>
        </is>
      </c>
      <c r="Q64" s="1044" t="inlineStr">
        <is>
          <t>from 31.03.2026 till 31.06.2026</t>
        </is>
      </c>
      <c r="T64" s="1017" t="n"/>
      <c r="U64" s="1017" t="n"/>
      <c r="V64" s="1017" t="n"/>
    </row>
    <row r="65" ht="64" customFormat="1" customHeight="1" s="1028">
      <c r="F65" s="1014" t="n"/>
      <c r="G65" s="1015" t="inlineStr">
        <is>
          <t xml:space="preserve">Provided </t>
        </is>
      </c>
      <c r="H65" s="1016" t="inlineStr">
        <is>
          <t>Should Have been Provided</t>
        </is>
      </c>
      <c r="I65" s="1009" t="inlineStr">
        <is>
          <t xml:space="preserve">Required Additional Funding </t>
        </is>
      </c>
      <c r="J65" s="1016" t="inlineStr">
        <is>
          <t>Parties Loans to be Provided ( incl Disbalance Rectification)</t>
        </is>
      </c>
      <c r="K65" s="1034" t="n"/>
      <c r="L65" s="1034" t="n"/>
      <c r="M65" s="1045" t="inlineStr">
        <is>
          <t>CAPEX</t>
        </is>
      </c>
      <c r="N65" s="1046" t="n">
        <v>18531958.49056604</v>
      </c>
      <c r="O65" s="1013" t="n">
        <v>1341458.080000009</v>
      </c>
      <c r="P65" s="513" t="n">
        <v>1167984.51</v>
      </c>
      <c r="Q65" s="1047" t="n">
        <v>2143811.79</v>
      </c>
      <c r="T65" s="1017" t="n"/>
      <c r="U65" s="1017" t="n"/>
      <c r="V65" s="1017" t="n"/>
    </row>
    <row r="66" ht="18" customFormat="1" customHeight="1" s="1028" thickBot="1">
      <c r="F66" s="1014" t="n"/>
      <c r="G66" s="1022" t="n"/>
      <c r="H66" s="1023" t="n"/>
      <c r="I66" s="1015" t="n"/>
      <c r="J66" s="1048" t="n"/>
      <c r="K66" s="1034" t="n"/>
      <c r="L66" s="1034" t="n"/>
      <c r="M66" s="1049" t="inlineStr">
        <is>
          <t>OPEX</t>
        </is>
      </c>
      <c r="N66" s="1050" t="n">
        <v>10875041.50943396</v>
      </c>
      <c r="O66" s="1051" t="n">
        <v>4507383</v>
      </c>
      <c r="P66" s="519" t="n">
        <v>3715276.49</v>
      </c>
      <c r="Q66" s="1052" t="n">
        <v>6819314.34</v>
      </c>
      <c r="T66" s="1017" t="n"/>
      <c r="U66" s="1017" t="n"/>
      <c r="V66" s="1017" t="n"/>
    </row>
    <row r="67" ht="18" customFormat="1" customHeight="1" s="1028">
      <c r="F67" s="1024" t="inlineStr">
        <is>
          <t>Fund (52%)</t>
        </is>
      </c>
      <c r="G67" s="521" t="n">
        <v>8121599.95</v>
      </c>
      <c r="H67" s="1016" t="n">
        <v>5580693.081600005</v>
      </c>
      <c r="I67" s="1015" t="n">
        <v>4660825.5876</v>
      </c>
      <c r="J67" s="1016" t="n">
        <v>2062457.61</v>
      </c>
      <c r="K67" s="1034" t="n"/>
      <c r="L67" s="1034" t="n"/>
      <c r="M67" s="1034" t="n"/>
      <c r="N67" s="1034" t="n"/>
      <c r="O67" s="1034" t="n"/>
      <c r="P67" s="1034" t="n"/>
      <c r="Q67" s="1034" t="n"/>
      <c r="T67" s="1017" t="n"/>
      <c r="U67" s="1017" t="n"/>
      <c r="V67" s="1017" t="n"/>
    </row>
    <row r="68" ht="18" customFormat="1" customHeight="1" s="1028">
      <c r="F68" s="1024" t="inlineStr">
        <is>
          <t>Aelios (48%)</t>
        </is>
      </c>
      <c r="G68" s="521" t="n">
        <v>2500000</v>
      </c>
      <c r="H68" s="1016" t="n">
        <v>5151408.998400005</v>
      </c>
      <c r="I68" s="1015" t="n">
        <v>4302300.542400001</v>
      </c>
      <c r="J68" s="522" t="n">
        <v>6900668.52</v>
      </c>
      <c r="K68" s="1034" t="n"/>
      <c r="L68" s="1034" t="n"/>
      <c r="M68" s="1034" t="n"/>
      <c r="N68" s="1034" t="n"/>
      <c r="O68" s="1034" t="n"/>
      <c r="P68" s="1034" t="n"/>
      <c r="Q68" s="1034" t="n"/>
      <c r="T68" s="1017" t="n"/>
      <c r="U68" s="1017" t="n"/>
      <c r="V68" s="1017" t="n"/>
    </row>
    <row r="69" ht="18" customFormat="1" customHeight="1" s="1028" thickBot="1">
      <c r="F69" s="1029" t="inlineStr">
        <is>
          <t>Total for the Period</t>
        </is>
      </c>
      <c r="G69" s="523" t="n">
        <v>10621599.95</v>
      </c>
      <c r="H69" s="523" t="n">
        <v>10732102.08</v>
      </c>
      <c r="I69" s="1030" t="n">
        <v>8963126.130000001</v>
      </c>
      <c r="J69" s="1053" t="n">
        <v>8963126.130000001</v>
      </c>
      <c r="K69" s="1034" t="n"/>
      <c r="L69" s="1034" t="n"/>
      <c r="M69" s="1034" t="n"/>
      <c r="N69" s="1034" t="n"/>
      <c r="O69" s="1034" t="n"/>
      <c r="P69" s="1034" t="n"/>
      <c r="Q69" s="1034" t="n"/>
      <c r="T69" s="1017" t="n"/>
      <c r="U69" s="1017" t="n"/>
      <c r="V69" s="1017" t="n"/>
    </row>
    <row r="70" ht="18" customFormat="1" customHeight="1" s="1028">
      <c r="K70" s="1054" t="n"/>
      <c r="L70" s="1054" t="n"/>
      <c r="T70" s="1017" t="n"/>
      <c r="U70" s="1017" t="n"/>
      <c r="V70" s="1017" t="n"/>
    </row>
    <row r="71" ht="26" customFormat="1" customHeight="1" s="1028" thickBot="1">
      <c r="F71" s="792" t="inlineStr">
        <is>
          <t>SOURCES OF FUNDING — How the EUR 27,134,844 is Covered</t>
        </is>
      </c>
      <c r="M71" s="1055" t="inlineStr">
        <is>
          <t>CAPEX - Finishing Construction</t>
        </is>
      </c>
      <c r="N71" s="1001" t="n"/>
      <c r="O71" s="1001" t="n"/>
      <c r="P71" s="1001" t="n"/>
      <c r="Q71" s="1001" t="n"/>
      <c r="T71" s="1017" t="n"/>
      <c r="U71" s="1017" t="n"/>
      <c r="V71" s="1017" t="n"/>
    </row>
    <row r="72" ht="18" customFormat="1" customHeight="1" s="1028" thickBot="1">
      <c r="F72" s="467" t="n"/>
      <c r="G72" s="467" t="n"/>
      <c r="H72" s="467" t="n"/>
      <c r="I72" s="467" t="n"/>
      <c r="J72" s="467" t="n"/>
      <c r="M72" s="538" t="inlineStr">
        <is>
          <t>Capital Required</t>
        </is>
      </c>
      <c r="N72" s="539" t="inlineStr">
        <is>
          <t>Description</t>
        </is>
      </c>
      <c r="O72" s="540" t="inlineStr">
        <is>
          <t>Oct-Dec2025</t>
        </is>
      </c>
      <c r="P72" s="540" t="inlineStr">
        <is>
          <t>Jan-Jun 2026</t>
        </is>
      </c>
      <c r="Q72" s="541" t="inlineStr">
        <is>
          <t>Total Oct-Jun</t>
        </is>
      </c>
      <c r="T72" s="1017" t="n"/>
      <c r="U72" s="1017" t="n"/>
      <c r="V72" s="1017" t="n"/>
    </row>
    <row r="73" ht="60" customFormat="1" customHeight="1" s="1028" thickBot="1">
      <c r="F73" s="468" t="inlineStr">
        <is>
          <t>Source</t>
        </is>
      </c>
      <c r="G73" s="466" t="inlineStr">
        <is>
          <t>Oct-Dec 2025</t>
        </is>
      </c>
      <c r="H73" s="466" t="inlineStr">
        <is>
          <t>Jan-Mar 2026</t>
        </is>
      </c>
      <c r="I73" s="466" t="inlineStr">
        <is>
          <t>Apr-Jun 2026</t>
        </is>
      </c>
      <c r="J73" s="469" t="inlineStr">
        <is>
          <t>Total</t>
        </is>
      </c>
      <c r="M73" s="546" t="inlineStr">
        <is>
          <t>Construction Hotel</t>
        </is>
      </c>
      <c r="N73" s="547" t="inlineStr">
        <is>
          <t xml:space="preserve">    → Overran EUR 1.34M from 2-month delay (Sep→Nov opening). Ongoing works to completion.</t>
        </is>
      </c>
      <c r="O73" s="1056" t="n">
        <v>-1341458.080000009</v>
      </c>
      <c r="P73" s="549" t="n">
        <v>-2541213</v>
      </c>
      <c r="Q73" s="1057" t="n">
        <v>-3882671.08</v>
      </c>
      <c r="T73" s="1017" t="n"/>
      <c r="U73" s="1017" t="n"/>
      <c r="V73" s="1017" t="n"/>
    </row>
    <row r="74" ht="62" customFormat="1" customHeight="1" s="1028">
      <c r="F74" s="561" t="inlineStr">
        <is>
          <t>Fund (52%)</t>
        </is>
      </c>
      <c r="G74" s="562">
        <f>P33</f>
        <v/>
      </c>
      <c r="H74" s="562">
        <f>R33</f>
        <v/>
      </c>
      <c r="I74" s="562">
        <f>T33</f>
        <v/>
      </c>
      <c r="J74" s="562">
        <f>G74+H74+I74</f>
        <v/>
      </c>
      <c r="M74" s="546" t="inlineStr">
        <is>
          <t>Defects Hotel</t>
        </is>
      </c>
      <c r="N74" s="551" t="inlineStr">
        <is>
          <t xml:space="preserve">    → Post-Hagenauer insolvency. Hotel defects repaired at own cost. Electrical audit EUR 250-300K before May 26 inspection.</t>
        </is>
      </c>
      <c r="O74" s="552" t="n">
        <v>0</v>
      </c>
      <c r="P74" s="552" t="n">
        <v>-1050000</v>
      </c>
      <c r="Q74" s="552" t="n">
        <v>-1050000</v>
      </c>
      <c r="T74" s="1017" t="n"/>
      <c r="U74" s="1017" t="n"/>
      <c r="V74" s="1017" t="n"/>
    </row>
    <row r="75" ht="70" customFormat="1" customHeight="1" s="1028">
      <c r="F75" s="1058" t="inlineStr">
        <is>
          <t>Aelios (48%)</t>
        </is>
      </c>
      <c r="G75" s="563">
        <f>P34</f>
        <v/>
      </c>
      <c r="H75" s="563">
        <f>R34</f>
        <v/>
      </c>
      <c r="I75" s="563">
        <f>T34</f>
        <v/>
      </c>
      <c r="J75" s="563">
        <f>G75+H75+I75</f>
        <v/>
      </c>
      <c r="M75" s="546" t="inlineStr">
        <is>
          <t>Finish Appartments</t>
        </is>
      </c>
      <c r="N75" s="551" t="inlineStr">
        <is>
          <t xml:space="preserve">    → Windows, KNX, electrical defects. New contractors at full price — Hagenauer subcontractors refuse to return.</t>
        </is>
      </c>
      <c r="O75" s="552" t="n">
        <v>0</v>
      </c>
      <c r="P75" s="553" t="n">
        <v>-1050000</v>
      </c>
      <c r="Q75" s="553" t="n">
        <v>-1050000</v>
      </c>
      <c r="T75" s="1017" t="n"/>
      <c r="U75" s="1017" t="n"/>
      <c r="V75" s="1017" t="n"/>
    </row>
    <row r="76" ht="18" customFormat="1" customHeight="1" s="1028" thickBot="1">
      <c r="F76" s="564" t="n"/>
      <c r="G76" s="1059" t="n"/>
      <c r="H76" s="1059" t="n"/>
      <c r="I76" s="1059" t="n"/>
      <c r="J76" s="566" t="n"/>
      <c r="M76" s="542" t="inlineStr">
        <is>
          <t>Capex Sub Total</t>
        </is>
      </c>
      <c r="N76" s="1060" t="n"/>
      <c r="O76" s="544" t="n">
        <v>-1341458.08</v>
      </c>
      <c r="P76" s="544" t="n">
        <v>-5091213</v>
      </c>
      <c r="Q76" s="545" t="n">
        <v>-6432671.08</v>
      </c>
      <c r="T76" s="1017" t="n"/>
      <c r="U76" s="1017" t="n"/>
      <c r="V76" s="1017" t="n"/>
    </row>
    <row r="77" ht="18" customFormat="1" customHeight="1" s="1028">
      <c r="F77" s="564" t="inlineStr">
        <is>
          <t>Parties Total</t>
        </is>
      </c>
      <c r="G77" s="563">
        <f>G74+G75</f>
        <v/>
      </c>
      <c r="H77" s="563">
        <f>H74+H75</f>
        <v/>
      </c>
      <c r="I77" s="563">
        <f>I74+I75</f>
        <v/>
      </c>
      <c r="J77" s="563">
        <f>J74+J75</f>
        <v/>
      </c>
      <c r="M77" s="1061" t="n"/>
      <c r="N77" s="1061" t="n"/>
      <c r="O77" s="1061" t="n"/>
      <c r="P77" s="1061" t="n"/>
      <c r="Q77" s="1061" t="n"/>
      <c r="T77" s="1017" t="n"/>
      <c r="U77" s="1017" t="n"/>
      <c r="V77" s="1017" t="n"/>
    </row>
    <row r="78" ht="17" customFormat="1" customHeight="1" s="1007" thickBot="1">
      <c r="F78" s="564" t="n"/>
      <c r="G78" s="564" t="n"/>
      <c r="H78" s="564" t="n"/>
      <c r="I78" s="564" t="n"/>
      <c r="J78" s="567" t="n"/>
      <c r="L78" s="1062" t="n"/>
      <c r="M78" s="1055" t="inlineStr">
        <is>
          <t>OPEX- Hotel Business</t>
        </is>
      </c>
      <c r="N78" s="1001" t="n"/>
      <c r="O78" s="1001" t="n"/>
      <c r="P78" s="1001" t="n"/>
      <c r="Q78" s="1001" t="n"/>
    </row>
    <row r="79" ht="29" customFormat="1" customHeight="1" s="1007">
      <c r="F79" s="564" t="inlineStr">
        <is>
          <t>Apartment Sales Proceeds</t>
        </is>
      </c>
      <c r="G79" s="564" t="n">
        <v>0</v>
      </c>
      <c r="H79" s="564">
        <f>R31</f>
        <v/>
      </c>
      <c r="I79" s="564">
        <f>T31</f>
        <v/>
      </c>
      <c r="J79" s="563">
        <f>G79+H79+I79</f>
        <v/>
      </c>
      <c r="L79" s="1062" t="n"/>
      <c r="M79" s="554" t="inlineStr">
        <is>
          <t>Capital Required</t>
        </is>
      </c>
      <c r="N79" s="555" t="inlineStr">
        <is>
          <t>Description</t>
        </is>
      </c>
      <c r="O79" s="555" t="inlineStr">
        <is>
          <t>Oct-Dec2025</t>
        </is>
      </c>
      <c r="P79" s="555" t="inlineStr">
        <is>
          <t>Jan-Jun 2026</t>
        </is>
      </c>
      <c r="Q79" s="556" t="inlineStr">
        <is>
          <t>Total Oct-Jun</t>
        </is>
      </c>
    </row>
    <row r="80" ht="41" customFormat="1" customHeight="1" s="1007">
      <c r="F80" s="1059" t="inlineStr">
        <is>
          <t xml:space="preserve">Total </t>
        </is>
      </c>
      <c r="G80" s="1059">
        <f>G77+G79</f>
        <v/>
      </c>
      <c r="H80" s="1059">
        <f>H77+H79</f>
        <v/>
      </c>
      <c r="I80" s="1059">
        <f>I77+I79</f>
        <v/>
      </c>
      <c r="J80" s="1059">
        <f>J77+J79</f>
        <v/>
      </c>
      <c r="L80" s="1062" t="n"/>
      <c r="M80" s="557" t="inlineStr">
        <is>
          <t>Hotel Staff</t>
        </is>
      </c>
      <c r="N80" s="1063" t="inlineStr">
        <is>
          <t>Staff hired for Sep opening. Continued drawing salaries through Nov. EUR 850K/month × 2 delay months.</t>
        </is>
      </c>
      <c r="O80" s="1064" t="n">
        <v>-1700000</v>
      </c>
      <c r="P80" s="1064" t="n">
        <v>0</v>
      </c>
      <c r="Q80" s="1064" t="n">
        <v>-1700000</v>
      </c>
    </row>
    <row r="81" ht="43" customFormat="1" customHeight="1" s="1007">
      <c r="L81" s="1062" t="n"/>
      <c r="M81" s="557" t="inlineStr">
        <is>
          <t>MO Marketing</t>
        </is>
      </c>
      <c r="N81" s="1065" t="inlineStr">
        <is>
          <t>Marketing paused during delay — resumed Q1 2026.</t>
        </is>
      </c>
      <c r="O81" s="1064" t="n">
        <v>-136000</v>
      </c>
      <c r="P81" s="1064" t="n">
        <v>-225000</v>
      </c>
      <c r="Q81" s="1064" t="n">
        <v>-361000</v>
      </c>
    </row>
    <row r="82" ht="52" customFormat="1" customHeight="1" s="1007" thickBot="1">
      <c r="F82" s="1066" t="inlineStr">
        <is>
          <t>Expected Capital Tranches (Apr–Jun 2026)</t>
        </is>
      </c>
      <c r="G82" s="1001" t="n"/>
      <c r="H82" s="1001" t="n"/>
      <c r="I82" s="1001" t="n"/>
      <c r="J82" s="1001" t="n"/>
      <c r="K82" s="1067" t="inlineStr">
        <is>
          <t>% of Parties
Capital</t>
        </is>
      </c>
      <c r="M82" s="577" t="inlineStr">
        <is>
          <t>Warranties</t>
        </is>
      </c>
      <c r="N82" s="1065" t="inlineStr">
        <is>
          <t>Hagenauer EUR 19M claim. Settlement, 3-year guarantees, legal costs.</t>
        </is>
      </c>
      <c r="O82" s="1064" t="n">
        <v>0</v>
      </c>
      <c r="P82" s="1064" t="n">
        <v>-4000000</v>
      </c>
      <c r="Q82" s="1064" t="n">
        <v>-4000000</v>
      </c>
    </row>
    <row r="83" ht="61" customFormat="1" customHeight="1" s="1007" thickBot="1">
      <c r="F83" s="1068" t="inlineStr">
        <is>
          <t>Month</t>
        </is>
      </c>
      <c r="G83" s="573" t="inlineStr">
        <is>
          <t>April 2026</t>
        </is>
      </c>
      <c r="H83" s="574" t="inlineStr">
        <is>
          <t>May 2026</t>
        </is>
      </c>
      <c r="I83" s="575" t="inlineStr">
        <is>
          <t>June 2026</t>
        </is>
      </c>
      <c r="J83" s="1069" t="inlineStr">
        <is>
          <t>Total Provided by Parties
Oct 2025 – Jun 2026</t>
        </is>
      </c>
      <c r="K83" s="1070" t="n"/>
      <c r="M83" s="577" t="inlineStr">
        <is>
          <t>Working Capital Hotel (NEW)</t>
        </is>
      </c>
      <c r="N83" s="1065" t="inlineStr">
        <is>
          <t>MO contractual right to EUR 1.5M reserve. Daily operations (food, supplies, salaries).</t>
        </is>
      </c>
      <c r="O83" s="1064" t="n">
        <v>0</v>
      </c>
      <c r="P83" s="1064" t="n">
        <v>-1500000</v>
      </c>
      <c r="Q83" s="1064" t="n">
        <v>-1500000</v>
      </c>
    </row>
    <row r="84" customFormat="1" s="1062">
      <c r="F84" s="1071" t="inlineStr">
        <is>
          <t>Fund (52%)</t>
        </is>
      </c>
      <c r="G84" s="569">
        <f>ROUND(I74/3,2)</f>
        <v/>
      </c>
      <c r="H84" s="569">
        <f>G84</f>
        <v/>
      </c>
      <c r="I84" s="569">
        <f>I74-G84-H84</f>
        <v/>
      </c>
      <c r="J84" s="569">
        <f>J74</f>
        <v/>
      </c>
      <c r="K84" s="1072">
        <f>J74/(J74+J75)</f>
        <v/>
      </c>
      <c r="M84" s="577" t="n"/>
      <c r="N84" s="1065" t="n"/>
      <c r="O84" s="1064" t="n"/>
      <c r="P84" s="1064" t="n"/>
      <c r="Q84" s="1064" t="n"/>
    </row>
    <row r="85" ht="49" customFormat="1" customHeight="1" s="1007">
      <c r="A85" s="423" t="n"/>
      <c r="B85" s="423" t="n"/>
      <c r="C85" s="423" t="n"/>
      <c r="D85" s="423" t="n"/>
      <c r="E85" s="423" t="n"/>
      <c r="F85" s="1073" t="inlineStr">
        <is>
          <t>Aelios (48%)</t>
        </is>
      </c>
      <c r="G85" s="1074" t="n">
        <v>2500000</v>
      </c>
      <c r="H85" s="571" t="n">
        <v>2500000</v>
      </c>
      <c r="I85" s="571">
        <f>I75-G85-H85</f>
        <v/>
      </c>
      <c r="J85" s="581">
        <f>J75</f>
        <v/>
      </c>
      <c r="K85" s="1075">
        <f>J75/(J74+J75)</f>
        <v/>
      </c>
      <c r="M85" s="577" t="inlineStr">
        <is>
          <t>OS&amp;E, IT, Art</t>
        </is>
      </c>
      <c r="N85" s="1065" t="inlineStr">
        <is>
          <t>Over-budget IT systems (EUR 319K — PMS, WiFi, smart room). Art EUR 105K.</t>
        </is>
      </c>
      <c r="O85" s="1064" t="n">
        <v>-851987</v>
      </c>
      <c r="P85" s="1064" t="n">
        <v>-395295</v>
      </c>
      <c r="Q85" s="1064" t="n">
        <v>-1247282</v>
      </c>
    </row>
    <row r="86" ht="76" customFormat="1" customHeight="1" s="1007">
      <c r="A86" s="423" t="n"/>
      <c r="B86" s="423" t="n"/>
      <c r="C86" s="423" t="n"/>
      <c r="D86" s="423" t="n"/>
      <c r="E86" s="423" t="n"/>
      <c r="L86" s="1062" t="n"/>
      <c r="M86" s="557" t="inlineStr">
        <is>
          <t>Sales Fees &amp; Property Management</t>
        </is>
      </c>
      <c r="N86" s="1065" t="inlineStr">
        <is>
          <t>Apartment sales commissions (1.5–2%) + property management. Sales started after construction.</t>
        </is>
      </c>
      <c r="O86" s="1064" t="n">
        <v>-1143556</v>
      </c>
      <c r="P86" s="1064" t="n">
        <v>-703531</v>
      </c>
      <c r="Q86" s="1064" t="n">
        <v>-1847087</v>
      </c>
    </row>
    <row r="87" ht="52" customFormat="1" customHeight="1" s="1007">
      <c r="A87" s="423" t="n"/>
      <c r="B87" s="423" t="n"/>
      <c r="C87" s="423" t="n"/>
      <c r="D87" s="423" t="n"/>
      <c r="E87" s="423" t="n"/>
      <c r="F87" s="423" t="n"/>
      <c r="G87" s="423" t="n"/>
      <c r="H87" s="423" t="n"/>
      <c r="I87" s="423" t="n"/>
      <c r="L87" s="1062" t="n"/>
      <c r="M87" s="557" t="inlineStr">
        <is>
          <t>Bank Interest (Aukera)</t>
        </is>
      </c>
      <c r="N87" s="1065" t="inlineStr">
        <is>
          <t>Senior facility 5.4% p.a. EUR 350–500K/month. Higher due to extended drawdown from delay.</t>
        </is>
      </c>
      <c r="O87" s="1064" t="n">
        <v>-1049140</v>
      </c>
      <c r="P87" s="1064" t="n">
        <v>-3375964</v>
      </c>
      <c r="Q87" s="1064" t="n">
        <v>-4425104</v>
      </c>
    </row>
    <row r="88" ht="90" customFormat="1" customHeight="1" s="1007">
      <c r="A88" s="423" t="n"/>
      <c r="B88" s="423" t="n"/>
      <c r="C88" s="423" t="n"/>
      <c r="D88" s="423" t="n"/>
      <c r="E88" s="423" t="n"/>
      <c r="F88" s="423" t="n"/>
      <c r="G88" s="423" t="n"/>
      <c r="H88" s="423" t="n"/>
      <c r="I88" s="423" t="n"/>
      <c r="J88" s="800" t="n"/>
      <c r="L88" s="1062" t="n"/>
      <c r="M88" s="557" t="inlineStr">
        <is>
          <t>VAT &amp; Taxes (NEW LAW)</t>
        </is>
      </c>
      <c r="N88" s="1065" t="inlineStr">
        <is>
          <t>Nov 2025 Betrugsbekämpfungsgesetz. Luxury apartments &gt;EUR 2.5M lose VAT exemption. EUR 5.77M hit.</t>
        </is>
      </c>
      <c r="O88" s="1064" t="n">
        <v>373300</v>
      </c>
      <c r="P88" s="1064" t="n">
        <v>-5770000</v>
      </c>
      <c r="Q88" s="1064" t="n">
        <v>-5396700</v>
      </c>
    </row>
    <row r="89" ht="24" customHeight="1" s="799" thickBot="1">
      <c r="A89" s="423" t="n"/>
      <c r="B89" s="423" t="n"/>
      <c r="C89" s="423" t="n"/>
      <c r="D89" s="423" t="n"/>
      <c r="E89" s="423" t="n"/>
      <c r="F89" s="424" t="n"/>
      <c r="G89" s="424" t="n"/>
      <c r="H89" s="424" t="n"/>
      <c r="I89" s="424" t="n"/>
      <c r="J89" s="801" t="n"/>
      <c r="M89" s="542" t="inlineStr">
        <is>
          <t>OPEX SUBTOTAL</t>
        </is>
      </c>
      <c r="N89" s="1060" t="n"/>
      <c r="O89" s="544" t="n">
        <v>-4507383</v>
      </c>
      <c r="P89" s="544" t="n">
        <v>-15969790</v>
      </c>
      <c r="Q89" s="545" t="n">
        <v>-20477173</v>
      </c>
    </row>
    <row r="90" ht="24" customFormat="1" customHeight="1" s="801" thickBot="1">
      <c r="A90" s="424" t="n"/>
      <c r="B90" s="424" t="n"/>
      <c r="C90" s="424" t="n"/>
      <c r="D90" s="424" t="n"/>
      <c r="E90" s="424" t="n"/>
      <c r="F90" s="424" t="n"/>
      <c r="G90" s="424" t="n"/>
      <c r="H90" s="424" t="n"/>
      <c r="I90" s="424" t="n"/>
      <c r="M90" s="525" t="n"/>
      <c r="N90" s="1076" t="n"/>
      <c r="O90" s="527" t="n"/>
      <c r="P90" s="527" t="n"/>
      <c r="Q90" s="528" t="n"/>
    </row>
    <row r="91" ht="17" customFormat="1" customHeight="1" s="801" thickBot="1">
      <c r="A91" s="424" t="n"/>
      <c r="B91" s="424" t="n"/>
      <c r="C91" s="424" t="n"/>
      <c r="D91" s="424" t="n"/>
      <c r="E91" s="424" t="n"/>
      <c r="F91" s="800" t="n"/>
      <c r="G91" s="800" t="n"/>
      <c r="H91" s="800" t="n"/>
      <c r="I91" s="800" t="n"/>
      <c r="J91" s="800" t="n"/>
      <c r="M91" s="775" t="inlineStr">
        <is>
          <t>TOTAL CAPITAL REQUIRED (Oct 2025 – Jun 2026)</t>
        </is>
      </c>
      <c r="N91" s="804" t="n"/>
      <c r="O91" s="530" t="n">
        <v>-5848841.080000009</v>
      </c>
      <c r="P91" s="531" t="n">
        <v>-21286003</v>
      </c>
      <c r="Q91" s="532" t="n">
        <v>-27134844.08</v>
      </c>
    </row>
    <row r="92">
      <c r="F92" s="423" t="n"/>
      <c r="G92" s="423" t="n"/>
      <c r="H92" s="423" t="n"/>
      <c r="I92" s="423" t="n"/>
      <c r="N92" s="425" t="n"/>
      <c r="O92" s="425" t="n"/>
      <c r="P92" s="425" t="n"/>
    </row>
    <row r="93" ht="17" customHeight="1" s="799">
      <c r="A93" s="423" t="n"/>
      <c r="B93" s="423" t="n"/>
      <c r="C93" s="423" t="n"/>
      <c r="D93" s="423" t="n"/>
      <c r="E93" s="423" t="n"/>
      <c r="F93" s="423" t="n"/>
      <c r="G93" s="423" t="n"/>
      <c r="H93" s="423" t="n"/>
      <c r="I93" s="423" t="n"/>
      <c r="J93" s="424" t="n"/>
    </row>
    <row r="94" ht="17" customHeight="1" s="799">
      <c r="A94" s="423" t="n"/>
      <c r="B94" s="423" t="n"/>
      <c r="C94" s="423" t="n"/>
      <c r="D94" s="423" t="n"/>
      <c r="E94" s="423" t="n"/>
      <c r="F94" s="423" t="n"/>
      <c r="G94" s="423" t="n"/>
      <c r="H94" s="423" t="n"/>
      <c r="I94" s="423" t="n"/>
      <c r="J94" s="424" t="n"/>
    </row>
    <row r="95" ht="48" customHeight="1" s="799">
      <c r="A95" s="423" t="n"/>
      <c r="B95" s="423" t="n"/>
      <c r="C95" s="423" t="n"/>
      <c r="D95" s="423" t="n"/>
      <c r="E95" s="423" t="n"/>
      <c r="F95" s="424" t="n"/>
      <c r="G95" s="424" t="n"/>
      <c r="H95" s="424" t="n"/>
      <c r="I95" s="424" t="n"/>
      <c r="J95" s="424" t="n"/>
      <c r="K95" s="801" t="n"/>
      <c r="M95" s="801" t="n"/>
      <c r="N95" s="801" t="n"/>
    </row>
    <row r="96" ht="16" customHeight="1" s="799">
      <c r="A96" s="423" t="n"/>
      <c r="B96" s="423" t="n"/>
      <c r="C96" s="423" t="n"/>
      <c r="D96" s="423" t="n"/>
      <c r="E96" s="423" t="n"/>
      <c r="F96" s="423" t="n"/>
      <c r="G96" s="423" t="n"/>
      <c r="H96" s="423" t="n"/>
      <c r="I96" s="423" t="n"/>
      <c r="J96" s="423" t="n"/>
      <c r="K96" s="801" t="n"/>
      <c r="M96" s="801" t="n"/>
      <c r="N96" s="801" t="n"/>
    </row>
    <row r="97" ht="17" customHeight="1" s="799">
      <c r="A97" s="423" t="n"/>
      <c r="B97" s="423" t="n"/>
      <c r="C97" s="423" t="n"/>
      <c r="D97" s="423" t="n"/>
      <c r="E97" s="423" t="n"/>
      <c r="F97" s="423" t="n"/>
      <c r="G97" s="423" t="n"/>
      <c r="H97" s="423" t="n"/>
      <c r="I97" s="423" t="n"/>
      <c r="J97" s="423" t="n"/>
    </row>
    <row r="98" ht="31" customHeight="1" s="799">
      <c r="A98" s="423" t="n"/>
      <c r="B98" s="423" t="n"/>
      <c r="C98" s="423" t="n"/>
      <c r="D98" s="423" t="n"/>
      <c r="E98" s="423" t="n"/>
      <c r="F98" s="423" t="n"/>
      <c r="G98" s="423" t="n"/>
      <c r="H98" s="423" t="n"/>
      <c r="I98" s="423" t="n"/>
      <c r="J98" s="423" t="n"/>
      <c r="Q98" s="426" t="n"/>
      <c r="R98" s="426" t="n"/>
      <c r="S98" s="426" t="n"/>
      <c r="T98" s="426" t="n"/>
      <c r="U98" s="426" t="n"/>
    </row>
    <row r="99">
      <c r="A99" s="423" t="n"/>
      <c r="B99" s="423" t="n"/>
      <c r="C99" s="423" t="n"/>
      <c r="D99" s="423" t="n"/>
      <c r="E99" s="423" t="n"/>
      <c r="F99" s="423" t="n"/>
      <c r="G99" s="423" t="n"/>
      <c r="H99" s="423" t="n"/>
      <c r="I99" s="423" t="n"/>
      <c r="J99" s="423" t="n"/>
      <c r="Q99" s="427" t="n"/>
      <c r="R99" s="427" t="n"/>
      <c r="S99" s="427" t="n"/>
      <c r="T99" s="427" t="n"/>
      <c r="U99" s="427" t="n"/>
    </row>
    <row r="100">
      <c r="A100" s="423" t="n"/>
      <c r="B100" s="423" t="n"/>
      <c r="C100" s="423" t="n"/>
      <c r="D100" s="423" t="n"/>
      <c r="E100" s="423" t="n"/>
      <c r="F100" s="423" t="n"/>
      <c r="G100" s="423" t="n"/>
      <c r="H100" s="423" t="n"/>
      <c r="I100" s="423" t="n"/>
      <c r="J100" s="423" t="n"/>
      <c r="Q100" s="427" t="n"/>
      <c r="R100" s="427" t="n"/>
      <c r="S100" s="427" t="n"/>
      <c r="T100" s="427" t="n"/>
      <c r="U100" s="427" t="n"/>
    </row>
    <row r="101">
      <c r="A101" s="423" t="n"/>
      <c r="B101" s="423" t="n"/>
      <c r="C101" s="423" t="n"/>
      <c r="D101" s="423" t="n"/>
      <c r="E101" s="423" t="n"/>
      <c r="F101" s="423" t="n"/>
      <c r="G101" s="423" t="n"/>
      <c r="H101" s="423" t="n"/>
      <c r="I101" s="423" t="n"/>
      <c r="J101" s="423" t="n"/>
    </row>
    <row r="102">
      <c r="A102" s="423" t="n"/>
      <c r="B102" s="423" t="n"/>
      <c r="C102" s="423" t="n"/>
      <c r="D102" s="423" t="n"/>
      <c r="E102" s="423" t="n"/>
      <c r="F102" s="423" t="n"/>
      <c r="G102" s="423" t="n"/>
      <c r="H102" s="423" t="n"/>
      <c r="I102" s="423" t="n"/>
      <c r="J102" s="423" t="n"/>
      <c r="Q102" s="427" t="n"/>
      <c r="R102" s="427" t="n"/>
      <c r="S102" s="427" t="n"/>
      <c r="T102" s="427" t="n"/>
      <c r="U102" s="427" t="n"/>
    </row>
    <row r="103">
      <c r="A103" s="423" t="n"/>
      <c r="B103" s="423" t="n"/>
      <c r="C103" s="423" t="n"/>
      <c r="D103" s="423" t="n"/>
      <c r="E103" s="423" t="n"/>
      <c r="F103" s="423" t="n"/>
      <c r="G103" s="423" t="n"/>
      <c r="H103" s="423" t="n"/>
      <c r="I103" s="423" t="n"/>
      <c r="J103" s="423" t="n"/>
      <c r="R103" s="425" t="n"/>
    </row>
    <row r="104">
      <c r="A104" s="423" t="n"/>
      <c r="B104" s="423" t="n"/>
      <c r="C104" s="423" t="n"/>
      <c r="D104" s="423" t="n"/>
      <c r="E104" s="423" t="n"/>
    </row>
    <row r="105" ht="17" customHeight="1" s="799">
      <c r="S105" s="427" t="n"/>
    </row>
    <row r="107">
      <c r="K107" s="423" t="n"/>
      <c r="L107" s="424" t="n"/>
      <c r="M107" s="423" t="n"/>
      <c r="N107" s="423" t="n"/>
      <c r="O107" s="423" t="n"/>
      <c r="P107" s="423" t="n"/>
    </row>
  </sheetData>
  <mergeCells count="18">
    <mergeCell ref="N56:O56"/>
    <mergeCell ref="G4:N4"/>
    <mergeCell ref="P56:Q56"/>
    <mergeCell ref="M71:Q71"/>
    <mergeCell ref="F5:H5"/>
    <mergeCell ref="F55:J55"/>
    <mergeCell ref="M78:Q78"/>
    <mergeCell ref="G64:J64"/>
    <mergeCell ref="M91:N91"/>
    <mergeCell ref="M55:Q55"/>
    <mergeCell ref="G2:N2"/>
    <mergeCell ref="M63:Q63"/>
    <mergeCell ref="F63:J63"/>
    <mergeCell ref="F82:J82"/>
    <mergeCell ref="I5:M5"/>
    <mergeCell ref="F71:J71"/>
    <mergeCell ref="I56:J56"/>
    <mergeCell ref="G56:H56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OI76"/>
  <sheetViews>
    <sheetView zoomScale="120" zoomScaleNormal="120" workbookViewId="0">
      <pane xSplit="14" ySplit="4" topLeftCell="S16" activePane="bottomRight" state="frozen"/>
      <selection pane="topRight" activeCell="B1" sqref="B1"/>
      <selection pane="bottomLeft" activeCell="A5" sqref="A5"/>
      <selection pane="bottomRight" activeCell="W31" sqref="W31"/>
    </sheetView>
  </sheetViews>
  <sheetFormatPr baseColWidth="10" defaultColWidth="10.6640625" defaultRowHeight="24" customHeight="1"/>
  <cols>
    <col width="64.83203125" customWidth="1" style="83" min="1" max="1"/>
    <col hidden="1" outlineLevel="1" width="16.83203125" customWidth="1" style="83" min="2" max="2"/>
    <col hidden="1" outlineLevel="1" width="17.6640625" customWidth="1" style="83" min="3" max="3"/>
    <col hidden="1" outlineLevel="1" width="19" customWidth="1" style="83" min="4" max="4"/>
    <col hidden="1" outlineLevel="1" width="17.1640625" customWidth="1" style="83" min="5" max="5"/>
    <col hidden="1" outlineLevel="1" width="18.5" customWidth="1" style="83" min="6" max="6"/>
    <col hidden="1" outlineLevel="1" width="16.5" customWidth="1" style="83" min="7" max="7"/>
    <col hidden="1" outlineLevel="1" width="17.1640625" customWidth="1" style="82" min="8" max="10"/>
    <col hidden="1" outlineLevel="1" width="19" customWidth="1" style="82" min="11" max="11"/>
    <col hidden="1" outlineLevel="1" width="19.1640625" customWidth="1" style="82" min="12" max="12"/>
    <col hidden="1" outlineLevel="1" width="20.6640625" customWidth="1" style="82" min="13" max="13"/>
    <col outlineLevel="1" width="19.6640625" customWidth="1" style="82" min="14" max="14"/>
    <col outlineLevel="1" width="19" customWidth="1" style="82" min="15" max="15"/>
    <col outlineLevel="1" width="18.5" customWidth="1" style="82" min="16" max="16"/>
    <col outlineLevel="1" width="18.83203125" customWidth="1" style="82" min="17" max="25"/>
    <col outlineLevel="1" width="21.5" customWidth="1" style="82" min="26" max="26"/>
    <col width="25.33203125" customWidth="1" style="82" min="27" max="27"/>
    <col width="19.5" customWidth="1" style="82" min="28" max="28"/>
    <col width="19.33203125" customWidth="1" style="82" min="29" max="29"/>
    <col width="23.1640625" customWidth="1" style="82" min="30" max="30"/>
    <col width="22.5" customWidth="1" style="82" min="31" max="31"/>
    <col width="21.6640625" customWidth="1" style="82" min="32" max="32"/>
    <col width="29.5" customWidth="1" style="82" min="33" max="33"/>
    <col width="18.33203125" customWidth="1" style="82" min="34" max="34"/>
    <col width="25.5" customWidth="1" style="82" min="35" max="35"/>
    <col width="16.6640625" customWidth="1" style="82" min="36" max="46"/>
    <col width="10.6640625" customWidth="1" style="82" min="47" max="55"/>
    <col width="10.6640625" customWidth="1" style="82" min="56" max="16384"/>
  </cols>
  <sheetData>
    <row r="2" ht="24" customHeight="1" s="799">
      <c r="A2" s="135" t="inlineStr">
        <is>
          <t>Equity Requirements Calculations  V1</t>
        </is>
      </c>
      <c r="B2" s="81" t="n"/>
      <c r="C2" s="81" t="n"/>
      <c r="D2" s="81" t="n"/>
      <c r="E2" s="81" t="n"/>
      <c r="F2" s="81" t="n"/>
      <c r="G2" s="81" t="n"/>
    </row>
    <row r="3" ht="24" customHeight="1" s="799" thickBot="1"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I3" s="185" t="inlineStr">
        <is>
          <t>Internal notes / BC</t>
        </is>
      </c>
      <c r="AJ3" s="140" t="n"/>
      <c r="AK3" s="140" t="n"/>
      <c r="AL3" s="140" t="n"/>
      <c r="AM3" s="140" t="n"/>
      <c r="AN3" s="140" t="n"/>
      <c r="AO3" s="140" t="n"/>
      <c r="AP3" s="140" t="n"/>
      <c r="AQ3" s="140" t="n"/>
      <c r="AR3" s="140" t="n"/>
      <c r="AS3" s="140" t="n"/>
      <c r="AT3" s="140" t="n"/>
      <c r="AU3" s="140" t="n"/>
    </row>
    <row r="4" ht="41" customFormat="1" customHeight="1" s="88" thickBot="1">
      <c r="A4" s="85" t="inlineStr">
        <is>
          <t>Date: 13.9.2024</t>
        </is>
      </c>
      <c r="B4" s="86" t="inlineStr">
        <is>
          <t>June 3-9</t>
        </is>
      </c>
      <c r="C4" s="86" t="inlineStr">
        <is>
          <t>June 17-21</t>
        </is>
      </c>
      <c r="D4" s="86" t="inlineStr">
        <is>
          <t>June 24-30</t>
        </is>
      </c>
      <c r="E4" s="86" t="inlineStr">
        <is>
          <t>July 8-14</t>
        </is>
      </c>
      <c r="F4" s="86" t="inlineStr">
        <is>
          <t>July 22-25</t>
        </is>
      </c>
      <c r="G4" s="86" t="inlineStr">
        <is>
          <t>August  5-11</t>
        </is>
      </c>
      <c r="H4" s="86" t="inlineStr">
        <is>
          <t>Sept. 2-8</t>
        </is>
      </c>
      <c r="I4" s="86" t="inlineStr">
        <is>
          <t>Oct 1-4</t>
        </is>
      </c>
      <c r="J4" s="86" t="inlineStr">
        <is>
          <t>Nov 4-8</t>
        </is>
      </c>
      <c r="K4" s="86" t="inlineStr">
        <is>
          <t>Dec 2-6</t>
        </is>
      </c>
      <c r="L4" s="86" t="inlineStr">
        <is>
          <t>Jan 1-3</t>
        </is>
      </c>
      <c r="M4" s="86" t="inlineStr">
        <is>
          <t>Feb 3-6</t>
        </is>
      </c>
      <c r="N4" s="86" t="inlineStr">
        <is>
          <t>March 3-6</t>
        </is>
      </c>
      <c r="O4" s="86" t="inlineStr">
        <is>
          <t>Apr 1-4</t>
        </is>
      </c>
      <c r="P4" s="86" t="inlineStr">
        <is>
          <t>May 5-8</t>
        </is>
      </c>
      <c r="Q4" s="86" t="inlineStr">
        <is>
          <t>June 2-5</t>
        </is>
      </c>
      <c r="R4" s="86" t="inlineStr">
        <is>
          <t>July 1-4</t>
        </is>
      </c>
      <c r="S4" s="87" t="n">
        <v>37104</v>
      </c>
      <c r="T4" s="87" t="n">
        <v>37135</v>
      </c>
      <c r="U4" s="87" t="n">
        <v>37165</v>
      </c>
      <c r="V4" s="87" t="n">
        <v>37196</v>
      </c>
      <c r="W4" s="87" t="n">
        <v>37226</v>
      </c>
      <c r="X4" s="87" t="n">
        <v>37257</v>
      </c>
      <c r="Y4" s="87" t="n">
        <v>37288</v>
      </c>
      <c r="Z4" s="87" t="n">
        <v>37316</v>
      </c>
      <c r="AA4" s="87" t="n">
        <v>37347</v>
      </c>
      <c r="AB4" s="87" t="n">
        <v>37377</v>
      </c>
      <c r="AC4" s="87" t="n">
        <v>37408</v>
      </c>
      <c r="AD4" s="273" t="inlineStr">
        <is>
          <t>Total from March 2025 -Dec 2025</t>
        </is>
      </c>
      <c r="AE4" s="274" t="inlineStr">
        <is>
          <t>Jan 2026-June 2026</t>
        </is>
      </c>
      <c r="AF4" s="275" t="inlineStr">
        <is>
          <t>TOTAL</t>
        </is>
      </c>
      <c r="AG4" s="261" t="inlineStr">
        <is>
          <t>TOTAL outstanding</t>
        </is>
      </c>
      <c r="AH4" s="139" t="n"/>
      <c r="AI4" s="154" t="n"/>
      <c r="AJ4" s="150" t="n"/>
      <c r="AK4" s="151" t="inlineStr">
        <is>
          <t>SUMMARY POSITION FROM TL</t>
        </is>
      </c>
      <c r="AL4" s="150" t="n"/>
      <c r="AM4" s="150" t="n"/>
      <c r="AN4" s="152" t="n"/>
      <c r="AO4" s="152" t="n"/>
      <c r="AP4" s="152" t="n"/>
      <c r="AQ4" s="153" t="n"/>
      <c r="AR4" s="150" t="n"/>
      <c r="AS4" s="150" t="n"/>
      <c r="AT4" s="150" t="n"/>
      <c r="AU4" s="150" t="n"/>
      <c r="AV4" s="150" t="n"/>
      <c r="AW4" s="142" t="n"/>
      <c r="AX4" s="142" t="n"/>
      <c r="AY4" s="142" t="n"/>
      <c r="AZ4" s="142" t="n"/>
      <c r="BA4" s="142" t="n"/>
      <c r="BB4" s="142" t="n"/>
      <c r="BC4" s="142" t="n"/>
      <c r="BD4" s="142" t="n"/>
      <c r="BE4" s="142" t="n"/>
      <c r="BF4" s="142" t="n"/>
      <c r="BG4" s="142" t="n"/>
      <c r="BH4" s="142" t="n"/>
      <c r="BI4" s="142" t="n"/>
      <c r="BJ4" s="143" t="n"/>
      <c r="BK4" s="143" t="n"/>
      <c r="BL4" s="143" t="n"/>
      <c r="BM4" s="143" t="n"/>
      <c r="BN4" s="143" t="n"/>
      <c r="BO4" s="143" t="n"/>
      <c r="BP4" s="143" t="n"/>
      <c r="BQ4" s="93" t="n"/>
      <c r="BR4" s="93" t="n"/>
      <c r="BS4" s="93" t="n"/>
      <c r="BT4" s="93" t="n"/>
      <c r="BU4" s="93" t="n"/>
      <c r="BV4" s="93" t="n"/>
      <c r="BW4" s="93" t="n"/>
      <c r="BX4" s="93" t="n"/>
      <c r="BY4" s="93" t="n"/>
      <c r="BZ4" s="93" t="n"/>
      <c r="CA4" s="93" t="n"/>
      <c r="CB4" s="93" t="n"/>
      <c r="CC4" s="93" t="n"/>
      <c r="CD4" s="93" t="n"/>
      <c r="CE4" s="93" t="n"/>
      <c r="CF4" s="93" t="n"/>
      <c r="CG4" s="93" t="n"/>
      <c r="CH4" s="93" t="n"/>
      <c r="CI4" s="93" t="n"/>
      <c r="CJ4" s="93" t="n"/>
      <c r="CK4" s="93" t="n"/>
      <c r="CL4" s="93" t="n"/>
      <c r="CM4" s="93" t="n"/>
      <c r="CN4" s="93" t="n"/>
      <c r="CO4" s="93" t="n"/>
      <c r="CP4" s="93" t="n"/>
      <c r="CQ4" s="93" t="n"/>
      <c r="CR4" s="93" t="n"/>
      <c r="CS4" s="93" t="n"/>
      <c r="CT4" s="93" t="n"/>
      <c r="CU4" s="93" t="n"/>
      <c r="CV4" s="93" t="n"/>
      <c r="CW4" s="93" t="n"/>
      <c r="CX4" s="93" t="n"/>
      <c r="CY4" s="93" t="n"/>
      <c r="CZ4" s="93" t="n"/>
      <c r="DA4" s="93" t="n"/>
      <c r="DB4" s="93" t="n"/>
      <c r="DC4" s="93" t="n"/>
      <c r="DD4" s="93" t="n"/>
      <c r="DE4" s="93" t="n"/>
      <c r="DF4" s="93" t="n"/>
      <c r="DG4" s="93" t="n"/>
      <c r="DH4" s="93" t="n"/>
      <c r="DI4" s="93" t="n"/>
      <c r="DJ4" s="93" t="n"/>
      <c r="DK4" s="93" t="n"/>
      <c r="DL4" s="93" t="n"/>
      <c r="DM4" s="93" t="n"/>
      <c r="DN4" s="93" t="n"/>
      <c r="DO4" s="93" t="n"/>
      <c r="DP4" s="93" t="n"/>
      <c r="DQ4" s="93" t="n"/>
      <c r="DR4" s="93" t="n"/>
      <c r="DS4" s="93" t="n"/>
      <c r="DT4" s="93" t="n"/>
      <c r="DU4" s="93" t="n"/>
      <c r="DV4" s="93" t="n"/>
      <c r="DW4" s="93" t="n"/>
      <c r="DX4" s="93" t="n"/>
      <c r="DY4" s="93" t="n"/>
      <c r="DZ4" s="93" t="n"/>
      <c r="EA4" s="93" t="n"/>
      <c r="EB4" s="93" t="n"/>
      <c r="EC4" s="93" t="n"/>
      <c r="ED4" s="93" t="n"/>
      <c r="EE4" s="93" t="n"/>
      <c r="EF4" s="93" t="n"/>
      <c r="EG4" s="93" t="n"/>
      <c r="EH4" s="93" t="n"/>
      <c r="EI4" s="93" t="n"/>
      <c r="EJ4" s="93" t="n"/>
      <c r="EK4" s="93" t="n"/>
      <c r="EL4" s="93" t="n"/>
      <c r="EM4" s="93" t="n"/>
      <c r="EN4" s="93" t="n"/>
      <c r="EO4" s="93" t="n"/>
      <c r="EP4" s="93" t="n"/>
      <c r="EQ4" s="93" t="n"/>
      <c r="ER4" s="93" t="n"/>
      <c r="ES4" s="93" t="n"/>
      <c r="ET4" s="93" t="n"/>
      <c r="EU4" s="93" t="n"/>
      <c r="EV4" s="93" t="n"/>
      <c r="EW4" s="93" t="n"/>
      <c r="EX4" s="93" t="n"/>
      <c r="EY4" s="93" t="n"/>
      <c r="EZ4" s="93" t="n"/>
      <c r="FA4" s="93" t="n"/>
      <c r="FB4" s="93" t="n"/>
      <c r="FC4" s="93" t="n"/>
      <c r="FD4" s="93" t="n"/>
      <c r="FE4" s="93" t="n"/>
      <c r="FF4" s="93" t="n"/>
      <c r="FG4" s="93" t="n"/>
      <c r="FH4" s="93" t="n"/>
      <c r="FI4" s="93" t="n"/>
      <c r="FJ4" s="93" t="n"/>
      <c r="FK4" s="93" t="n"/>
      <c r="FL4" s="93" t="n"/>
      <c r="FM4" s="93" t="n"/>
      <c r="FN4" s="93" t="n"/>
      <c r="FO4" s="93" t="n"/>
      <c r="FP4" s="93" t="n"/>
      <c r="FQ4" s="93" t="n"/>
      <c r="FR4" s="93" t="n"/>
      <c r="FS4" s="93" t="n"/>
      <c r="FT4" s="93" t="n"/>
      <c r="FU4" s="93" t="n"/>
      <c r="FV4" s="93" t="n"/>
      <c r="FW4" s="93" t="n"/>
      <c r="FX4" s="93" t="n"/>
      <c r="FY4" s="93" t="n"/>
      <c r="FZ4" s="93" t="n"/>
      <c r="GA4" s="93" t="n"/>
      <c r="GB4" s="93" t="n"/>
      <c r="GC4" s="93" t="n"/>
      <c r="GD4" s="93" t="n"/>
      <c r="GE4" s="93" t="n"/>
      <c r="GF4" s="93" t="n"/>
      <c r="GG4" s="93" t="n"/>
      <c r="GH4" s="93" t="n"/>
      <c r="GI4" s="93" t="n"/>
      <c r="GJ4" s="93" t="n"/>
      <c r="GK4" s="93" t="n"/>
      <c r="GL4" s="93" t="n"/>
      <c r="GM4" s="93" t="n"/>
      <c r="GN4" s="93" t="n"/>
      <c r="GO4" s="93" t="n"/>
      <c r="GP4" s="93" t="n"/>
      <c r="GQ4" s="93" t="n"/>
      <c r="GR4" s="93" t="n"/>
      <c r="GS4" s="93" t="n"/>
      <c r="GT4" s="93" t="n"/>
      <c r="GU4" s="93" t="n"/>
      <c r="GV4" s="93" t="n"/>
      <c r="GW4" s="93" t="n"/>
      <c r="GX4" s="93" t="n"/>
      <c r="GY4" s="93" t="n"/>
      <c r="GZ4" s="93" t="n"/>
      <c r="HA4" s="93" t="n"/>
      <c r="HB4" s="93" t="n"/>
      <c r="HC4" s="93" t="n"/>
      <c r="HD4" s="93" t="n"/>
      <c r="HE4" s="93" t="n"/>
      <c r="HF4" s="93" t="n"/>
      <c r="HG4" s="93" t="n"/>
      <c r="HH4" s="93" t="n"/>
      <c r="HI4" s="93" t="n"/>
      <c r="HJ4" s="93" t="n"/>
      <c r="HK4" s="93" t="n"/>
      <c r="HL4" s="93" t="n"/>
      <c r="HM4" s="93" t="n"/>
      <c r="HN4" s="93" t="n"/>
      <c r="HO4" s="93" t="n"/>
      <c r="HP4" s="93" t="n"/>
      <c r="HQ4" s="93" t="n"/>
      <c r="HR4" s="93" t="n"/>
      <c r="HS4" s="93" t="n"/>
      <c r="HT4" s="93" t="n"/>
      <c r="HU4" s="93" t="n"/>
      <c r="HV4" s="93" t="n"/>
      <c r="HW4" s="93" t="n"/>
      <c r="HX4" s="93" t="n"/>
      <c r="HY4" s="93" t="n"/>
      <c r="HZ4" s="93" t="n"/>
      <c r="IA4" s="93" t="n"/>
      <c r="IB4" s="93" t="n"/>
      <c r="IC4" s="93" t="n"/>
      <c r="ID4" s="93" t="n"/>
      <c r="IE4" s="93" t="n"/>
      <c r="IF4" s="93" t="n"/>
      <c r="IG4" s="93" t="n"/>
      <c r="IH4" s="93" t="n"/>
      <c r="II4" s="93" t="n"/>
      <c r="IJ4" s="93" t="n"/>
      <c r="IK4" s="93" t="n"/>
      <c r="IL4" s="93" t="n"/>
      <c r="IM4" s="93" t="n"/>
      <c r="IN4" s="93" t="n"/>
      <c r="IO4" s="93" t="n"/>
      <c r="IP4" s="93" t="n"/>
      <c r="IQ4" s="93" t="n"/>
      <c r="IR4" s="93" t="n"/>
      <c r="IS4" s="93" t="n"/>
      <c r="IT4" s="93" t="n"/>
      <c r="IU4" s="93" t="n"/>
      <c r="IV4" s="93" t="n"/>
      <c r="IW4" s="93" t="n"/>
      <c r="IX4" s="93" t="n"/>
      <c r="IY4" s="93" t="n"/>
      <c r="IZ4" s="93" t="n"/>
      <c r="JA4" s="93" t="n"/>
      <c r="JB4" s="93" t="n"/>
      <c r="JC4" s="93" t="n"/>
      <c r="JD4" s="93" t="n"/>
      <c r="JE4" s="93" t="n"/>
      <c r="JF4" s="93" t="n"/>
      <c r="JG4" s="93" t="n"/>
      <c r="JH4" s="93" t="n"/>
      <c r="JI4" s="93" t="n"/>
      <c r="JJ4" s="93" t="n"/>
      <c r="JK4" s="93" t="n"/>
      <c r="JL4" s="93" t="n"/>
      <c r="JM4" s="93" t="n"/>
      <c r="JN4" s="93" t="n"/>
      <c r="JO4" s="93" t="n"/>
      <c r="JP4" s="93" t="n"/>
      <c r="JQ4" s="93" t="n"/>
      <c r="JR4" s="93" t="n"/>
      <c r="JS4" s="93" t="n"/>
      <c r="JT4" s="93" t="n"/>
      <c r="JU4" s="93" t="n"/>
      <c r="JV4" s="93" t="n"/>
      <c r="JW4" s="93" t="n"/>
      <c r="JX4" s="93" t="n"/>
      <c r="JY4" s="93" t="n"/>
      <c r="JZ4" s="93" t="n"/>
      <c r="KA4" s="93" t="n"/>
      <c r="KB4" s="93" t="n"/>
      <c r="KC4" s="93" t="n"/>
      <c r="KD4" s="93" t="n"/>
      <c r="KE4" s="93" t="n"/>
      <c r="KF4" s="93" t="n"/>
      <c r="KG4" s="93" t="n"/>
      <c r="KH4" s="93" t="n"/>
      <c r="KI4" s="93" t="n"/>
      <c r="KJ4" s="93" t="n"/>
      <c r="KK4" s="93" t="n"/>
      <c r="KL4" s="93" t="n"/>
      <c r="KM4" s="93" t="n"/>
      <c r="KN4" s="93" t="n"/>
      <c r="KO4" s="93" t="n"/>
      <c r="KP4" s="93" t="n"/>
      <c r="KQ4" s="93" t="n"/>
      <c r="KR4" s="93" t="n"/>
      <c r="KS4" s="93" t="n"/>
      <c r="KT4" s="93" t="n"/>
      <c r="KU4" s="93" t="n"/>
      <c r="KV4" s="93" t="n"/>
      <c r="KW4" s="93" t="n"/>
      <c r="KX4" s="93" t="n"/>
      <c r="KY4" s="93" t="n"/>
      <c r="KZ4" s="93" t="n"/>
      <c r="LA4" s="93" t="n"/>
      <c r="LB4" s="93" t="n"/>
      <c r="LC4" s="93" t="n"/>
      <c r="LD4" s="93" t="n"/>
      <c r="LE4" s="93" t="n"/>
      <c r="LF4" s="93" t="n"/>
      <c r="LG4" s="93" t="n"/>
      <c r="LH4" s="93" t="n"/>
      <c r="LI4" s="93" t="n"/>
      <c r="LJ4" s="93" t="n"/>
      <c r="LK4" s="93" t="n"/>
      <c r="LL4" s="93" t="n"/>
      <c r="LM4" s="93" t="n"/>
      <c r="LN4" s="93" t="n"/>
      <c r="LO4" s="93" t="n"/>
      <c r="LP4" s="93" t="n"/>
      <c r="LQ4" s="93" t="n"/>
      <c r="LR4" s="93" t="n"/>
      <c r="LS4" s="93" t="n"/>
      <c r="LT4" s="93" t="n"/>
      <c r="LU4" s="93" t="n"/>
      <c r="LV4" s="93" t="n"/>
      <c r="LW4" s="93" t="n"/>
      <c r="LX4" s="93" t="n"/>
      <c r="LY4" s="93" t="n"/>
      <c r="LZ4" s="93" t="n"/>
      <c r="MA4" s="93" t="n"/>
      <c r="MB4" s="93" t="n"/>
      <c r="MC4" s="93" t="n"/>
      <c r="MD4" s="93" t="n"/>
      <c r="ME4" s="93" t="n"/>
      <c r="MF4" s="93" t="n"/>
      <c r="MG4" s="93" t="n"/>
      <c r="MH4" s="93" t="n"/>
      <c r="MI4" s="93" t="n"/>
      <c r="MJ4" s="93" t="n"/>
      <c r="MK4" s="93" t="n"/>
      <c r="ML4" s="93" t="n"/>
      <c r="MM4" s="93" t="n"/>
      <c r="MN4" s="93" t="n"/>
      <c r="MO4" s="93" t="n"/>
      <c r="MP4" s="93" t="n"/>
      <c r="MQ4" s="93" t="n"/>
      <c r="MR4" s="93" t="n"/>
      <c r="MS4" s="93" t="n"/>
      <c r="MT4" s="93" t="n"/>
      <c r="MU4" s="93" t="n"/>
      <c r="MV4" s="93" t="n"/>
      <c r="MW4" s="93" t="n"/>
      <c r="MX4" s="93" t="n"/>
      <c r="MY4" s="93" t="n"/>
      <c r="MZ4" s="93" t="n"/>
      <c r="NA4" s="93" t="n"/>
      <c r="NB4" s="93" t="n"/>
      <c r="NC4" s="93" t="n"/>
      <c r="ND4" s="93" t="n"/>
      <c r="NE4" s="93" t="n"/>
      <c r="NF4" s="93" t="n"/>
      <c r="NG4" s="93" t="n"/>
      <c r="NH4" s="93" t="n"/>
      <c r="NI4" s="93" t="n"/>
      <c r="NJ4" s="93" t="n"/>
      <c r="NK4" s="93" t="n"/>
      <c r="NL4" s="93" t="n"/>
      <c r="NM4" s="93" t="n"/>
      <c r="NN4" s="93" t="n"/>
      <c r="NO4" s="93" t="n"/>
      <c r="NP4" s="93" t="n"/>
      <c r="NQ4" s="93" t="n"/>
      <c r="NR4" s="93" t="n"/>
      <c r="NS4" s="93" t="n"/>
      <c r="NT4" s="93" t="n"/>
      <c r="NU4" s="93" t="n"/>
      <c r="NV4" s="93" t="n"/>
      <c r="NW4" s="93" t="n"/>
      <c r="NX4" s="93" t="n"/>
      <c r="NY4" s="93" t="n"/>
      <c r="NZ4" s="93" t="n"/>
      <c r="OA4" s="93" t="n"/>
      <c r="OB4" s="93" t="n"/>
      <c r="OC4" s="93" t="n"/>
      <c r="OD4" s="93" t="n"/>
      <c r="OE4" s="93" t="n"/>
      <c r="OF4" s="93" t="n"/>
      <c r="OG4" s="93" t="n"/>
      <c r="OH4" s="93" t="n"/>
      <c r="OI4" s="93" t="n"/>
    </row>
    <row r="5" ht="24" customFormat="1" customHeight="1" s="93">
      <c r="A5" s="89" t="n"/>
      <c r="B5" s="90" t="n"/>
      <c r="C5" s="90" t="n"/>
      <c r="D5" s="90" t="n"/>
      <c r="E5" s="90" t="n"/>
      <c r="F5" s="90" t="n"/>
      <c r="G5" s="90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2" t="n"/>
      <c r="AB5" s="92" t="n"/>
      <c r="AC5" s="92" t="n"/>
      <c r="AD5" s="276" t="n"/>
      <c r="AE5" s="277" t="n"/>
      <c r="AF5" s="278" t="n"/>
      <c r="AG5" s="262" t="n"/>
      <c r="AI5" s="154" t="n"/>
      <c r="AJ5" s="150" t="n"/>
      <c r="AK5" s="187" t="inlineStr">
        <is>
          <t>OUTGOINGS</t>
        </is>
      </c>
      <c r="AL5" s="154" t="n"/>
      <c r="AM5" s="154" t="n"/>
      <c r="AN5" s="152" t="n">
        <v>46113</v>
      </c>
      <c r="AO5" s="152" t="n">
        <v>46143</v>
      </c>
      <c r="AP5" s="152" t="n">
        <v>46174</v>
      </c>
      <c r="AQ5" s="153" t="inlineStr">
        <is>
          <t>Q2 Total</t>
        </is>
      </c>
      <c r="AR5" s="150" t="n"/>
      <c r="AS5" s="150" t="n"/>
      <c r="AT5" s="150" t="n"/>
      <c r="AU5" s="150" t="n"/>
      <c r="AV5" s="150" t="n"/>
      <c r="AW5" s="142" t="n"/>
      <c r="AX5" s="142" t="n"/>
      <c r="AY5" s="142" t="n"/>
      <c r="AZ5" s="142" t="n"/>
      <c r="BA5" s="142" t="n"/>
      <c r="BB5" s="142" t="n"/>
      <c r="BC5" s="142" t="n"/>
      <c r="BD5" s="142" t="n"/>
      <c r="BE5" s="142" t="n"/>
      <c r="BF5" s="142" t="n"/>
      <c r="BG5" s="142" t="n"/>
      <c r="BH5" s="142" t="n"/>
      <c r="BI5" s="142" t="n"/>
      <c r="BJ5" s="143" t="n"/>
      <c r="BK5" s="143" t="n"/>
      <c r="BL5" s="143" t="n"/>
      <c r="BM5" s="143" t="n"/>
      <c r="BN5" s="143" t="n"/>
      <c r="BO5" s="143" t="n"/>
      <c r="BP5" s="143" t="n"/>
    </row>
    <row r="6" ht="24" customHeight="1" s="799" thickBot="1">
      <c r="A6" s="94" t="inlineStr">
        <is>
          <t>Balance begining of period</t>
        </is>
      </c>
      <c r="B6" s="1077" t="n"/>
      <c r="C6" s="1077">
        <f>B38</f>
        <v/>
      </c>
      <c r="D6" s="1077">
        <f>C38</f>
        <v/>
      </c>
      <c r="E6" s="1077">
        <f>D38</f>
        <v/>
      </c>
      <c r="F6" s="1077">
        <f>E38</f>
        <v/>
      </c>
      <c r="G6" s="1077">
        <f>F38</f>
        <v/>
      </c>
      <c r="H6" s="1077">
        <f>G38</f>
        <v/>
      </c>
      <c r="I6" s="1077">
        <f>H38</f>
        <v/>
      </c>
      <c r="J6" s="1077">
        <f>I38</f>
        <v/>
      </c>
      <c r="K6" s="1077">
        <f>J38</f>
        <v/>
      </c>
      <c r="L6" s="1077">
        <f>K38</f>
        <v/>
      </c>
      <c r="M6" s="1077">
        <f>L38</f>
        <v/>
      </c>
      <c r="N6" s="1077">
        <f>M38</f>
        <v/>
      </c>
      <c r="O6" s="1077">
        <f>N38</f>
        <v/>
      </c>
      <c r="P6" s="1077">
        <f>O38</f>
        <v/>
      </c>
      <c r="Q6" s="1077">
        <f>P38</f>
        <v/>
      </c>
      <c r="R6" s="1077">
        <f>Q38</f>
        <v/>
      </c>
      <c r="S6" s="1077">
        <f>R38</f>
        <v/>
      </c>
      <c r="T6" s="1077">
        <f>S38</f>
        <v/>
      </c>
      <c r="U6" s="1077">
        <f>T38</f>
        <v/>
      </c>
      <c r="V6" s="1077">
        <f>U38</f>
        <v/>
      </c>
      <c r="W6" s="1077">
        <f>V38</f>
        <v/>
      </c>
      <c r="X6" s="1077">
        <f>W38</f>
        <v/>
      </c>
      <c r="Y6" s="1077">
        <f>X38</f>
        <v/>
      </c>
      <c r="Z6" s="1077">
        <f>Y38</f>
        <v/>
      </c>
      <c r="AA6" s="1078">
        <f>Z38</f>
        <v/>
      </c>
      <c r="AB6" s="1078">
        <f>AA38</f>
        <v/>
      </c>
      <c r="AC6" s="1079">
        <f>AB38</f>
        <v/>
      </c>
      <c r="AD6" s="1080">
        <f>N6</f>
        <v/>
      </c>
      <c r="AE6" s="1081">
        <f>AD38</f>
        <v/>
      </c>
      <c r="AF6" s="1082" t="n"/>
      <c r="AG6" s="263" t="n"/>
      <c r="AI6" s="184" t="n"/>
      <c r="AJ6" s="150" t="n"/>
      <c r="AK6" s="184" t="n"/>
      <c r="AL6" s="150" t="n"/>
      <c r="AM6" s="155" t="inlineStr">
        <is>
          <t>Type</t>
        </is>
      </c>
      <c r="AN6" s="150" t="n"/>
      <c r="AO6" s="150" t="n"/>
      <c r="AP6" s="150" t="n"/>
      <c r="AQ6" s="150" t="n"/>
      <c r="AR6" s="150" t="n"/>
      <c r="AS6" s="150" t="n"/>
      <c r="AT6" s="150" t="n"/>
      <c r="AU6" s="150" t="n"/>
      <c r="AV6" s="150" t="n"/>
      <c r="AW6" s="142" t="n"/>
      <c r="AX6" s="142" t="n"/>
      <c r="AY6" s="142" t="n"/>
      <c r="AZ6" s="142" t="n"/>
      <c r="BA6" s="142" t="n"/>
      <c r="BB6" s="142" t="n"/>
      <c r="BC6" s="142" t="n"/>
      <c r="BD6" s="142" t="n"/>
      <c r="BE6" s="142" t="n"/>
      <c r="BF6" s="142" t="n"/>
      <c r="BG6" s="142" t="n"/>
      <c r="BH6" s="142" t="n"/>
      <c r="BI6" s="142" t="n"/>
      <c r="BJ6" s="144" t="n"/>
      <c r="BK6" s="144" t="n"/>
      <c r="BL6" s="144" t="n"/>
      <c r="BM6" s="144" t="n"/>
      <c r="BN6" s="144" t="n"/>
      <c r="BO6" s="144" t="n"/>
      <c r="BP6" s="144" t="n"/>
    </row>
    <row r="7" ht="24" customHeight="1" s="799" thickBot="1">
      <c r="A7" s="97" t="n"/>
      <c r="B7" s="98" t="n"/>
      <c r="C7" s="98" t="n"/>
      <c r="D7" s="98" t="n"/>
      <c r="E7" s="98" t="n"/>
      <c r="F7" s="98" t="n"/>
      <c r="G7" s="98" t="n"/>
      <c r="H7" s="1083" t="n"/>
      <c r="I7" s="1083" t="n"/>
      <c r="J7" s="1083" t="n"/>
      <c r="K7" s="1083" t="n"/>
      <c r="L7" s="1083" t="n"/>
      <c r="M7" s="1083" t="n"/>
      <c r="N7" s="1083" t="n"/>
      <c r="O7" s="1083" t="n"/>
      <c r="P7" s="1083" t="n"/>
      <c r="Q7" s="1083" t="n"/>
      <c r="R7" s="1083" t="n"/>
      <c r="S7" s="1083" t="n"/>
      <c r="T7" s="1083" t="n"/>
      <c r="U7" s="1083" t="n"/>
      <c r="V7" s="1083" t="n"/>
      <c r="W7" s="1083" t="n"/>
      <c r="X7" s="1083" t="n"/>
      <c r="Y7" s="1083" t="n"/>
      <c r="Z7" s="1083" t="n"/>
      <c r="AA7" s="1084" t="n"/>
      <c r="AB7" s="1084" t="n"/>
      <c r="AC7" s="1084" t="n"/>
      <c r="AD7" s="1085" t="n"/>
      <c r="AE7" s="1086" t="n"/>
      <c r="AF7" s="1087" t="n"/>
      <c r="AG7" s="264" t="n"/>
      <c r="AI7" s="149" t="inlineStr">
        <is>
          <t>update date</t>
        </is>
      </c>
      <c r="AJ7" s="150" t="n"/>
      <c r="AK7" s="190" t="inlineStr">
        <is>
          <t>MOVIE Development works</t>
        </is>
      </c>
      <c r="AL7" s="191" t="n"/>
      <c r="AM7" s="156" t="n"/>
      <c r="AN7" s="1088">
        <f>SUM(AN8:AN12)</f>
        <v/>
      </c>
      <c r="AO7" s="1089">
        <f>SUM(AO8:AO12)</f>
        <v/>
      </c>
      <c r="AP7" s="1090">
        <f>SUM(AP8:AP12)</f>
        <v/>
      </c>
      <c r="AQ7" s="1091">
        <f>SUM(AQ8:AQ12)</f>
        <v/>
      </c>
      <c r="AR7" s="150" t="n"/>
      <c r="AS7" s="150" t="n"/>
      <c r="AT7" s="150" t="n"/>
      <c r="AU7" s="150" t="n"/>
      <c r="AV7" s="150" t="n"/>
      <c r="AW7" s="142" t="n"/>
      <c r="AX7" s="142" t="n"/>
      <c r="AY7" s="142" t="n"/>
      <c r="AZ7" s="142" t="n"/>
      <c r="BA7" s="142" t="n"/>
      <c r="BB7" s="142" t="n"/>
      <c r="BC7" s="142" t="n"/>
      <c r="BD7" s="142" t="n"/>
      <c r="BE7" s="142" t="n"/>
      <c r="BF7" s="142" t="n"/>
      <c r="BG7" s="142" t="n"/>
      <c r="BH7" s="142" t="n"/>
      <c r="BI7" s="142" t="n"/>
      <c r="BJ7" s="144" t="n"/>
      <c r="BK7" s="144" t="n"/>
      <c r="BL7" s="144" t="n"/>
      <c r="BM7" s="144" t="n"/>
      <c r="BN7" s="144" t="n"/>
      <c r="BO7" s="144" t="n"/>
      <c r="BP7" s="144" t="n"/>
    </row>
    <row r="8" ht="24" customFormat="1" customHeight="1" s="88">
      <c r="A8" s="101" t="inlineStr">
        <is>
          <t xml:space="preserve">Payments </t>
        </is>
      </c>
      <c r="B8" s="102" t="n"/>
      <c r="C8" s="102" t="n"/>
      <c r="D8" s="102" t="n"/>
      <c r="E8" s="102" t="n"/>
      <c r="F8" s="102" t="n"/>
      <c r="G8" s="102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285" t="n"/>
      <c r="AE8" s="286" t="n"/>
      <c r="AF8" s="287" t="n"/>
      <c r="AG8" s="265" t="n"/>
      <c r="AH8" s="93" t="n"/>
      <c r="AI8" s="149" t="inlineStr">
        <is>
          <t>identify OB locations</t>
        </is>
      </c>
      <c r="AJ8" s="150" t="n"/>
      <c r="AK8" s="182" t="inlineStr">
        <is>
          <t>Hotel / HAG replacement</t>
        </is>
      </c>
      <c r="AL8" s="183" t="n"/>
      <c r="AM8" s="161" t="inlineStr">
        <is>
          <t>Soft accrual</t>
        </is>
      </c>
      <c r="AN8" s="1092">
        <f>AA14</f>
        <v/>
      </c>
      <c r="AO8" s="1093">
        <f>AB14</f>
        <v/>
      </c>
      <c r="AP8" s="1094">
        <f>AC14</f>
        <v/>
      </c>
      <c r="AQ8" s="1095">
        <f>SUM(AN8:AP8)</f>
        <v/>
      </c>
      <c r="AR8" s="1096" t="n"/>
      <c r="AS8" s="150" t="n"/>
      <c r="AT8" s="150" t="n"/>
      <c r="AU8" s="150" t="n"/>
      <c r="AV8" s="150" t="n"/>
      <c r="AW8" s="142" t="n"/>
      <c r="AX8" s="142" t="n"/>
      <c r="AY8" s="142" t="n"/>
      <c r="AZ8" s="142" t="n"/>
      <c r="BA8" s="142" t="n"/>
      <c r="BB8" s="142" t="n"/>
      <c r="BC8" s="142" t="n"/>
      <c r="BD8" s="142" t="n"/>
      <c r="BE8" s="142" t="n"/>
      <c r="BF8" s="142" t="n"/>
      <c r="BG8" s="142" t="n"/>
      <c r="BH8" s="142" t="n"/>
      <c r="BI8" s="142" t="n"/>
      <c r="BJ8" s="143" t="n"/>
      <c r="BK8" s="143" t="n"/>
      <c r="BL8" s="143" t="n"/>
      <c r="BM8" s="143" t="n"/>
      <c r="BN8" s="143" t="n"/>
      <c r="BO8" s="143" t="n"/>
      <c r="BP8" s="143" t="n"/>
      <c r="BQ8" s="93" t="n"/>
      <c r="BR8" s="93" t="n"/>
      <c r="BS8" s="93" t="n"/>
      <c r="BT8" s="93" t="n"/>
      <c r="BU8" s="93" t="n"/>
      <c r="BV8" s="93" t="n"/>
      <c r="BW8" s="93" t="n"/>
      <c r="BX8" s="93" t="n"/>
      <c r="BY8" s="93" t="n"/>
      <c r="BZ8" s="93" t="n"/>
      <c r="CA8" s="93" t="n"/>
      <c r="CB8" s="93" t="n"/>
      <c r="CC8" s="93" t="n"/>
      <c r="CD8" s="93" t="n"/>
      <c r="CE8" s="93" t="n"/>
      <c r="CF8" s="93" t="n"/>
      <c r="CG8" s="93" t="n"/>
      <c r="CH8" s="93" t="n"/>
      <c r="CI8" s="93" t="n"/>
      <c r="CJ8" s="93" t="n"/>
      <c r="CK8" s="93" t="n"/>
      <c r="CL8" s="93" t="n"/>
      <c r="CM8" s="93" t="n"/>
      <c r="CN8" s="93" t="n"/>
      <c r="CO8" s="93" t="n"/>
      <c r="CP8" s="93" t="n"/>
      <c r="CQ8" s="93" t="n"/>
      <c r="CR8" s="93" t="n"/>
      <c r="CS8" s="93" t="n"/>
      <c r="CT8" s="93" t="n"/>
      <c r="CU8" s="93" t="n"/>
      <c r="CV8" s="93" t="n"/>
      <c r="CW8" s="93" t="n"/>
      <c r="CX8" s="93" t="n"/>
      <c r="CY8" s="93" t="n"/>
      <c r="CZ8" s="93" t="n"/>
      <c r="DA8" s="93" t="n"/>
      <c r="DB8" s="93" t="n"/>
      <c r="DC8" s="93" t="n"/>
      <c r="DD8" s="93" t="n"/>
      <c r="DE8" s="93" t="n"/>
      <c r="DF8" s="93" t="n"/>
      <c r="DG8" s="93" t="n"/>
      <c r="DH8" s="93" t="n"/>
      <c r="DI8" s="93" t="n"/>
      <c r="DJ8" s="93" t="n"/>
      <c r="DK8" s="93" t="n"/>
      <c r="DL8" s="93" t="n"/>
      <c r="DM8" s="93" t="n"/>
      <c r="DN8" s="93" t="n"/>
      <c r="DO8" s="93" t="n"/>
      <c r="DP8" s="93" t="n"/>
      <c r="DQ8" s="93" t="n"/>
      <c r="DR8" s="93" t="n"/>
      <c r="DS8" s="93" t="n"/>
      <c r="DT8" s="93" t="n"/>
      <c r="DU8" s="93" t="n"/>
      <c r="DV8" s="93" t="n"/>
      <c r="DW8" s="93" t="n"/>
      <c r="DX8" s="93" t="n"/>
      <c r="DY8" s="93" t="n"/>
      <c r="DZ8" s="93" t="n"/>
      <c r="EA8" s="93" t="n"/>
      <c r="EB8" s="93" t="n"/>
      <c r="EC8" s="93" t="n"/>
      <c r="ED8" s="93" t="n"/>
      <c r="EE8" s="93" t="n"/>
      <c r="EF8" s="93" t="n"/>
      <c r="EG8" s="93" t="n"/>
      <c r="EH8" s="93" t="n"/>
      <c r="EI8" s="93" t="n"/>
      <c r="EJ8" s="93" t="n"/>
      <c r="EK8" s="93" t="n"/>
      <c r="EL8" s="93" t="n"/>
      <c r="EM8" s="93" t="n"/>
      <c r="EN8" s="93" t="n"/>
      <c r="EO8" s="93" t="n"/>
      <c r="EP8" s="93" t="n"/>
      <c r="EQ8" s="93" t="n"/>
      <c r="ER8" s="93" t="n"/>
      <c r="ES8" s="93" t="n"/>
      <c r="ET8" s="93" t="n"/>
      <c r="EU8" s="93" t="n"/>
      <c r="EV8" s="93" t="n"/>
      <c r="EW8" s="93" t="n"/>
      <c r="EX8" s="93" t="n"/>
      <c r="EY8" s="93" t="n"/>
      <c r="EZ8" s="93" t="n"/>
      <c r="FA8" s="93" t="n"/>
      <c r="FB8" s="93" t="n"/>
      <c r="FC8" s="93" t="n"/>
      <c r="FD8" s="93" t="n"/>
      <c r="FE8" s="93" t="n"/>
      <c r="FF8" s="93" t="n"/>
      <c r="FG8" s="93" t="n"/>
      <c r="FH8" s="93" t="n"/>
      <c r="FI8" s="93" t="n"/>
      <c r="FJ8" s="93" t="n"/>
      <c r="FK8" s="93" t="n"/>
      <c r="FL8" s="93" t="n"/>
      <c r="FM8" s="93" t="n"/>
      <c r="FN8" s="93" t="n"/>
      <c r="FO8" s="93" t="n"/>
      <c r="FP8" s="93" t="n"/>
      <c r="FQ8" s="93" t="n"/>
      <c r="FR8" s="93" t="n"/>
      <c r="FS8" s="93" t="n"/>
      <c r="FT8" s="93" t="n"/>
      <c r="FU8" s="93" t="n"/>
      <c r="FV8" s="93" t="n"/>
      <c r="FW8" s="93" t="n"/>
      <c r="FX8" s="93" t="n"/>
      <c r="FY8" s="93" t="n"/>
      <c r="FZ8" s="93" t="n"/>
      <c r="GA8" s="93" t="n"/>
      <c r="GB8" s="93" t="n"/>
      <c r="GC8" s="93" t="n"/>
      <c r="GD8" s="93" t="n"/>
      <c r="GE8" s="93" t="n"/>
      <c r="GF8" s="93" t="n"/>
      <c r="GG8" s="93" t="n"/>
      <c r="GH8" s="93" t="n"/>
      <c r="GI8" s="93" t="n"/>
      <c r="GJ8" s="93" t="n"/>
      <c r="GK8" s="93" t="n"/>
      <c r="GL8" s="93" t="n"/>
      <c r="GM8" s="93" t="n"/>
      <c r="GN8" s="93" t="n"/>
      <c r="GO8" s="93" t="n"/>
      <c r="GP8" s="93" t="n"/>
      <c r="GQ8" s="93" t="n"/>
      <c r="GR8" s="93" t="n"/>
      <c r="GS8" s="93" t="n"/>
      <c r="GT8" s="93" t="n"/>
      <c r="GU8" s="93" t="n"/>
      <c r="GV8" s="93" t="n"/>
      <c r="GW8" s="93" t="n"/>
      <c r="GX8" s="93" t="n"/>
      <c r="GY8" s="93" t="n"/>
      <c r="GZ8" s="93" t="n"/>
      <c r="HA8" s="93" t="n"/>
      <c r="HB8" s="93" t="n"/>
      <c r="HC8" s="93" t="n"/>
      <c r="HD8" s="93" t="n"/>
      <c r="HE8" s="93" t="n"/>
      <c r="HF8" s="93" t="n"/>
      <c r="HG8" s="93" t="n"/>
      <c r="HH8" s="93" t="n"/>
      <c r="HI8" s="93" t="n"/>
      <c r="HJ8" s="93" t="n"/>
      <c r="HK8" s="93" t="n"/>
      <c r="HL8" s="93" t="n"/>
      <c r="HM8" s="93" t="n"/>
      <c r="HN8" s="93" t="n"/>
      <c r="HO8" s="93" t="n"/>
      <c r="HP8" s="93" t="n"/>
      <c r="HQ8" s="93" t="n"/>
      <c r="HR8" s="93" t="n"/>
      <c r="HS8" s="93" t="n"/>
      <c r="HT8" s="93" t="n"/>
      <c r="HU8" s="93" t="n"/>
      <c r="HV8" s="93" t="n"/>
      <c r="HW8" s="93" t="n"/>
      <c r="HX8" s="93" t="n"/>
      <c r="HY8" s="93" t="n"/>
      <c r="HZ8" s="93" t="n"/>
      <c r="IA8" s="93" t="n"/>
      <c r="IB8" s="93" t="n"/>
      <c r="IC8" s="93" t="n"/>
      <c r="ID8" s="93" t="n"/>
      <c r="IE8" s="93" t="n"/>
      <c r="IF8" s="93" t="n"/>
      <c r="IG8" s="93" t="n"/>
      <c r="IH8" s="93" t="n"/>
      <c r="II8" s="93" t="n"/>
      <c r="IJ8" s="93" t="n"/>
      <c r="IK8" s="93" t="n"/>
      <c r="IL8" s="93" t="n"/>
      <c r="IM8" s="93" t="n"/>
      <c r="IN8" s="93" t="n"/>
      <c r="IO8" s="93" t="n"/>
      <c r="IP8" s="93" t="n"/>
      <c r="IQ8" s="93" t="n"/>
      <c r="IR8" s="93" t="n"/>
      <c r="IS8" s="93" t="n"/>
      <c r="IT8" s="93" t="n"/>
      <c r="IU8" s="93" t="n"/>
      <c r="IV8" s="93" t="n"/>
      <c r="IW8" s="93" t="n"/>
      <c r="IX8" s="93" t="n"/>
      <c r="IY8" s="93" t="n"/>
      <c r="IZ8" s="93" t="n"/>
      <c r="JA8" s="93" t="n"/>
      <c r="JB8" s="93" t="n"/>
      <c r="JC8" s="93" t="n"/>
      <c r="JD8" s="93" t="n"/>
      <c r="JE8" s="93" t="n"/>
      <c r="JF8" s="93" t="n"/>
      <c r="JG8" s="93" t="n"/>
      <c r="JH8" s="93" t="n"/>
      <c r="JI8" s="93" t="n"/>
      <c r="JJ8" s="93" t="n"/>
      <c r="JK8" s="93" t="n"/>
      <c r="JL8" s="93" t="n"/>
      <c r="JM8" s="93" t="n"/>
      <c r="JN8" s="93" t="n"/>
      <c r="JO8" s="93" t="n"/>
      <c r="JP8" s="93" t="n"/>
      <c r="JQ8" s="93" t="n"/>
      <c r="JR8" s="93" t="n"/>
      <c r="JS8" s="93" t="n"/>
      <c r="JT8" s="93" t="n"/>
      <c r="JU8" s="93" t="n"/>
      <c r="JV8" s="93" t="n"/>
      <c r="JW8" s="93" t="n"/>
      <c r="JX8" s="93" t="n"/>
      <c r="JY8" s="93" t="n"/>
      <c r="JZ8" s="93" t="n"/>
      <c r="KA8" s="93" t="n"/>
      <c r="KB8" s="93" t="n"/>
      <c r="KC8" s="93" t="n"/>
      <c r="KD8" s="93" t="n"/>
      <c r="KE8" s="93" t="n"/>
      <c r="KF8" s="93" t="n"/>
      <c r="KG8" s="93" t="n"/>
      <c r="KH8" s="93" t="n"/>
      <c r="KI8" s="93" t="n"/>
      <c r="KJ8" s="93" t="n"/>
      <c r="KK8" s="93" t="n"/>
      <c r="KL8" s="93" t="n"/>
      <c r="KM8" s="93" t="n"/>
      <c r="KN8" s="93" t="n"/>
      <c r="KO8" s="93" t="n"/>
      <c r="KP8" s="93" t="n"/>
      <c r="KQ8" s="93" t="n"/>
      <c r="KR8" s="93" t="n"/>
      <c r="KS8" s="93" t="n"/>
      <c r="KT8" s="93" t="n"/>
      <c r="KU8" s="93" t="n"/>
      <c r="KV8" s="93" t="n"/>
      <c r="KW8" s="93" t="n"/>
      <c r="KX8" s="93" t="n"/>
      <c r="KY8" s="93" t="n"/>
      <c r="KZ8" s="93" t="n"/>
      <c r="LA8" s="93" t="n"/>
      <c r="LB8" s="93" t="n"/>
      <c r="LC8" s="93" t="n"/>
      <c r="LD8" s="93" t="n"/>
      <c r="LE8" s="93" t="n"/>
      <c r="LF8" s="93" t="n"/>
      <c r="LG8" s="93" t="n"/>
      <c r="LH8" s="93" t="n"/>
      <c r="LI8" s="93" t="n"/>
      <c r="LJ8" s="93" t="n"/>
      <c r="LK8" s="93" t="n"/>
      <c r="LL8" s="93" t="n"/>
      <c r="LM8" s="93" t="n"/>
      <c r="LN8" s="93" t="n"/>
      <c r="LO8" s="93" t="n"/>
      <c r="LP8" s="93" t="n"/>
      <c r="LQ8" s="93" t="n"/>
      <c r="LR8" s="93" t="n"/>
      <c r="LS8" s="93" t="n"/>
      <c r="LT8" s="93" t="n"/>
      <c r="LU8" s="93" t="n"/>
      <c r="LV8" s="93" t="n"/>
      <c r="LW8" s="93" t="n"/>
      <c r="LX8" s="93" t="n"/>
      <c r="LY8" s="93" t="n"/>
      <c r="LZ8" s="93" t="n"/>
      <c r="MA8" s="93" t="n"/>
      <c r="MB8" s="93" t="n"/>
      <c r="MC8" s="93" t="n"/>
      <c r="MD8" s="93" t="n"/>
      <c r="ME8" s="93" t="n"/>
      <c r="MF8" s="93" t="n"/>
      <c r="MG8" s="93" t="n"/>
      <c r="MH8" s="93" t="n"/>
      <c r="MI8" s="93" t="n"/>
      <c r="MJ8" s="93" t="n"/>
      <c r="MK8" s="93" t="n"/>
      <c r="ML8" s="93" t="n"/>
      <c r="MM8" s="93" t="n"/>
      <c r="MN8" s="93" t="n"/>
      <c r="MO8" s="93" t="n"/>
      <c r="MP8" s="93" t="n"/>
      <c r="MQ8" s="93" t="n"/>
      <c r="MR8" s="93" t="n"/>
      <c r="MS8" s="93" t="n"/>
      <c r="MT8" s="93" t="n"/>
      <c r="MU8" s="93" t="n"/>
      <c r="MV8" s="93" t="n"/>
      <c r="MW8" s="93" t="n"/>
      <c r="MX8" s="93" t="n"/>
      <c r="MY8" s="93" t="n"/>
      <c r="MZ8" s="93" t="n"/>
      <c r="NA8" s="93" t="n"/>
      <c r="NB8" s="93" t="n"/>
      <c r="NC8" s="93" t="n"/>
      <c r="ND8" s="93" t="n"/>
      <c r="NE8" s="93" t="n"/>
      <c r="NF8" s="93" t="n"/>
      <c r="NG8" s="93" t="n"/>
      <c r="NH8" s="93" t="n"/>
      <c r="NI8" s="93" t="n"/>
      <c r="NJ8" s="93" t="n"/>
      <c r="NK8" s="93" t="n"/>
      <c r="NL8" s="93" t="n"/>
      <c r="NM8" s="93" t="n"/>
      <c r="NN8" s="93" t="n"/>
      <c r="NO8" s="93" t="n"/>
      <c r="NP8" s="93" t="n"/>
      <c r="NQ8" s="93" t="n"/>
      <c r="NR8" s="93" t="n"/>
      <c r="NS8" s="93" t="n"/>
      <c r="NT8" s="93" t="n"/>
      <c r="NU8" s="93" t="n"/>
      <c r="NV8" s="93" t="n"/>
      <c r="NW8" s="93" t="n"/>
      <c r="NX8" s="93" t="n"/>
      <c r="NY8" s="93" t="n"/>
      <c r="NZ8" s="93" t="n"/>
      <c r="OA8" s="93" t="n"/>
      <c r="OB8" s="93" t="n"/>
      <c r="OC8" s="93" t="n"/>
      <c r="OD8" s="93" t="n"/>
      <c r="OE8" s="93" t="n"/>
      <c r="OF8" s="93" t="n"/>
      <c r="OG8" s="93" t="n"/>
      <c r="OH8" s="93" t="n"/>
      <c r="OI8" s="93" t="n"/>
    </row>
    <row r="9" ht="24" customHeight="1" s="799">
      <c r="A9" s="94" t="inlineStr">
        <is>
          <t>Hagenauer Fit out</t>
        </is>
      </c>
      <c r="B9" s="1077" t="n">
        <v>-6025000</v>
      </c>
      <c r="C9" s="1077" t="n">
        <v>-2447500</v>
      </c>
      <c r="D9" s="1077" t="n">
        <v>0</v>
      </c>
      <c r="E9" s="1077" t="n">
        <v>-5625500</v>
      </c>
      <c r="F9" s="1077" t="n">
        <v>-5801526</v>
      </c>
      <c r="G9" s="1077" t="n"/>
      <c r="H9" s="1077" t="n">
        <v>-4129588</v>
      </c>
      <c r="I9" s="1077" t="n">
        <v>-1070089</v>
      </c>
      <c r="J9" s="1077" t="n">
        <v>-1557241</v>
      </c>
      <c r="K9" s="1077" t="n">
        <v>-3356909</v>
      </c>
      <c r="L9" s="1077" t="n">
        <v>-2515021</v>
      </c>
      <c r="M9" s="1077" t="n">
        <v>-2137684</v>
      </c>
      <c r="N9" s="1077" t="n">
        <v>-1170136</v>
      </c>
      <c r="O9" s="1077" t="n">
        <v>-2195244</v>
      </c>
      <c r="P9" s="1077" t="n">
        <v>-1344630</v>
      </c>
      <c r="Q9" s="1077" t="n">
        <v>-1051978</v>
      </c>
      <c r="R9" s="1077" t="n">
        <v>-1733414</v>
      </c>
      <c r="S9" s="1077" t="n">
        <v>-1693227</v>
      </c>
      <c r="T9" s="1077">
        <f>-3090934+1550000</f>
        <v/>
      </c>
      <c r="U9" s="1077" t="n">
        <v>-435140.62</v>
      </c>
      <c r="V9" s="1077" t="n">
        <v>-1806961</v>
      </c>
      <c r="W9" s="1077" t="n"/>
      <c r="X9" s="1077" t="n"/>
      <c r="Y9" s="1077" t="n"/>
      <c r="Z9" s="1077" t="n"/>
      <c r="AA9" s="1078" t="n"/>
      <c r="AB9" s="1078" t="n"/>
      <c r="AC9" s="1097" t="n"/>
      <c r="AD9" s="1080">
        <f>SUM(N9:W9)</f>
        <v/>
      </c>
      <c r="AE9" s="1080">
        <f>SUM(X9:AC9)</f>
        <v/>
      </c>
      <c r="AF9" s="1082">
        <f>AD9+AE9</f>
        <v/>
      </c>
      <c r="AG9" s="1098">
        <f>SUM(Z9)</f>
        <v/>
      </c>
      <c r="AI9" s="149" t="inlineStr">
        <is>
          <t>reconcile with Bs</t>
        </is>
      </c>
      <c r="AJ9" s="150" t="n"/>
      <c r="AK9" s="178" t="inlineStr">
        <is>
          <t>Residences / HAG replacement</t>
        </is>
      </c>
      <c r="AL9" s="179" t="n"/>
      <c r="AM9" s="161" t="inlineStr">
        <is>
          <t>Soft accrual</t>
        </is>
      </c>
      <c r="AN9" s="1099">
        <f>AA16</f>
        <v/>
      </c>
      <c r="AO9" s="1100">
        <f>AB16</f>
        <v/>
      </c>
      <c r="AP9" s="1101">
        <f>AC16</f>
        <v/>
      </c>
      <c r="AQ9" s="1102">
        <f>SUM(AN9:AP9)</f>
        <v/>
      </c>
      <c r="AR9" s="1096" t="n"/>
      <c r="AS9" s="150" t="n"/>
      <c r="AT9" s="150" t="n"/>
      <c r="AU9" s="150" t="n"/>
      <c r="AV9" s="150" t="n"/>
      <c r="AW9" s="142" t="n"/>
      <c r="AX9" s="142" t="n"/>
      <c r="AY9" s="142" t="n"/>
      <c r="AZ9" s="142" t="n"/>
      <c r="BA9" s="142" t="n"/>
      <c r="BB9" s="142" t="n"/>
      <c r="BC9" s="142" t="n"/>
      <c r="BD9" s="142" t="n"/>
      <c r="BE9" s="142" t="n"/>
      <c r="BF9" s="142" t="n"/>
      <c r="BG9" s="142" t="n"/>
      <c r="BH9" s="142" t="n"/>
      <c r="BI9" s="142" t="n"/>
      <c r="BJ9" s="144" t="n"/>
      <c r="BK9" s="144" t="n"/>
      <c r="BL9" s="144" t="n"/>
      <c r="BM9" s="144" t="n"/>
      <c r="BN9" s="144" t="n"/>
      <c r="BO9" s="144" t="n"/>
      <c r="BP9" s="144" t="n"/>
    </row>
    <row r="10" ht="24" customHeight="1" s="799">
      <c r="A10" s="94" t="inlineStr">
        <is>
          <t xml:space="preserve">Hagenauer FF&amp;E </t>
        </is>
      </c>
      <c r="B10" s="106" t="n"/>
      <c r="C10" s="106" t="n"/>
      <c r="D10" s="106" t="n"/>
      <c r="E10" s="106" t="n"/>
      <c r="F10" s="106" t="n"/>
      <c r="G10" s="106" t="n"/>
      <c r="H10" s="1077" t="n"/>
      <c r="I10" s="1077" t="n"/>
      <c r="J10" s="1077" t="n">
        <v>-300000</v>
      </c>
      <c r="K10" s="1077" t="n">
        <v>-221437</v>
      </c>
      <c r="L10" s="1077">
        <f>-1423808+600000</f>
        <v/>
      </c>
      <c r="M10" s="1077">
        <f>-251462-600000</f>
        <v/>
      </c>
      <c r="N10" s="1077" t="n">
        <v>-450935</v>
      </c>
      <c r="O10" s="1077" t="n">
        <v>-1076933</v>
      </c>
      <c r="P10" s="1077" t="n">
        <v>-610739</v>
      </c>
      <c r="Q10" s="1077" t="n">
        <v>-1192113</v>
      </c>
      <c r="R10" s="1077" t="n">
        <v>-934072</v>
      </c>
      <c r="S10" s="1077" t="n">
        <v>-1069427</v>
      </c>
      <c r="T10" s="1077" t="n">
        <v>-1111918</v>
      </c>
      <c r="U10" s="1077" t="n">
        <v>-575996.4</v>
      </c>
      <c r="V10" s="1077" t="n">
        <v>-328000</v>
      </c>
      <c r="W10" s="1077" t="n"/>
      <c r="X10" s="1077" t="n"/>
      <c r="Y10" s="1077" t="n"/>
      <c r="Z10" s="1077" t="n"/>
      <c r="AA10" s="1078" t="n"/>
      <c r="AB10" s="1078" t="n"/>
      <c r="AC10" s="1097" t="n"/>
      <c r="AD10" s="1080">
        <f>SUM(N10:W10)</f>
        <v/>
      </c>
      <c r="AE10" s="1080">
        <f>SUM(X10:AC10)</f>
        <v/>
      </c>
      <c r="AF10" s="1082">
        <f>AD10+AE10</f>
        <v/>
      </c>
      <c r="AG10" s="1098">
        <f>SUM(Z10)</f>
        <v/>
      </c>
      <c r="AI10" s="149" t="inlineStr">
        <is>
          <t>split to weekly</t>
        </is>
      </c>
      <c r="AJ10" s="150" t="n"/>
      <c r="AK10" s="176" t="inlineStr">
        <is>
          <t>Residences / Standard works</t>
        </is>
      </c>
      <c r="AL10" s="177" t="n"/>
      <c r="AM10" s="171" t="inlineStr">
        <is>
          <t>What is this</t>
        </is>
      </c>
      <c r="AN10" s="1099">
        <f>AA15</f>
        <v/>
      </c>
      <c r="AO10" s="1100">
        <f>AB15</f>
        <v/>
      </c>
      <c r="AP10" s="1101">
        <f>AC15</f>
        <v/>
      </c>
      <c r="AQ10" s="1102">
        <f>SUM(AN10:AP10)</f>
        <v/>
      </c>
      <c r="AR10" s="1096" t="n"/>
      <c r="AS10" s="150" t="n"/>
      <c r="AT10" s="150" t="n"/>
      <c r="AU10" s="150" t="n"/>
      <c r="AV10" s="150" t="n"/>
      <c r="AW10" s="142" t="n"/>
      <c r="AX10" s="142" t="n"/>
      <c r="AY10" s="142" t="n"/>
      <c r="AZ10" s="142" t="n"/>
      <c r="BA10" s="142" t="n"/>
      <c r="BB10" s="142" t="n"/>
      <c r="BC10" s="142" t="n"/>
      <c r="BD10" s="142" t="n"/>
      <c r="BE10" s="142" t="n"/>
      <c r="BF10" s="142" t="n"/>
      <c r="BG10" s="142" t="n"/>
      <c r="BH10" s="142" t="n"/>
      <c r="BI10" s="142" t="n"/>
      <c r="BJ10" s="144" t="n"/>
      <c r="BK10" s="144" t="n"/>
      <c r="BL10" s="144" t="n"/>
      <c r="BM10" s="144" t="n"/>
      <c r="BN10" s="144" t="n"/>
      <c r="BO10" s="144" t="n"/>
      <c r="BP10" s="144" t="n"/>
    </row>
    <row r="11" ht="24" customHeight="1" s="799">
      <c r="A11" s="94" t="inlineStr">
        <is>
          <t>Hagenauer HKLS</t>
        </is>
      </c>
      <c r="B11" s="106" t="n"/>
      <c r="C11" s="106" t="n"/>
      <c r="D11" s="106" t="n"/>
      <c r="E11" s="106" t="n"/>
      <c r="F11" s="106" t="n"/>
      <c r="G11" s="106" t="n"/>
      <c r="H11" s="1077" t="n"/>
      <c r="I11" s="1077" t="n">
        <v>-1116499</v>
      </c>
      <c r="J11" s="1077" t="n">
        <v>-1230237</v>
      </c>
      <c r="K11" s="1077" t="n">
        <v>-1507803</v>
      </c>
      <c r="L11" s="1077" t="n">
        <v>-1638885</v>
      </c>
      <c r="M11" s="1077" t="n">
        <v>-1211618</v>
      </c>
      <c r="N11" s="1077" t="n">
        <v>-1044657</v>
      </c>
      <c r="O11" s="1077" t="n">
        <v>-886555</v>
      </c>
      <c r="P11" s="1077" t="n">
        <v>-814962</v>
      </c>
      <c r="Q11" s="1077" t="n">
        <v>-898260</v>
      </c>
      <c r="R11" s="1077" t="n">
        <v>-1104626</v>
      </c>
      <c r="S11" s="1077" t="n">
        <v>-767953</v>
      </c>
      <c r="T11" s="1077" t="n">
        <v>-883132</v>
      </c>
      <c r="U11" s="1077" t="n">
        <v>-179797</v>
      </c>
      <c r="V11" s="1077" t="n">
        <v>-100000</v>
      </c>
      <c r="W11" s="1077" t="n"/>
      <c r="X11" s="1077" t="n"/>
      <c r="Y11" s="1077" t="n"/>
      <c r="Z11" s="1077" t="n"/>
      <c r="AA11" s="1078" t="n"/>
      <c r="AB11" s="1078" t="n"/>
      <c r="AC11" s="1097" t="n"/>
      <c r="AD11" s="1080">
        <f>SUM(N11:W11)</f>
        <v/>
      </c>
      <c r="AE11" s="1080">
        <f>SUM(X11:AC11)</f>
        <v/>
      </c>
      <c r="AF11" s="1082">
        <f>AD11+AE11</f>
        <v/>
      </c>
      <c r="AG11" s="1098">
        <f>SUM(Z11)</f>
        <v/>
      </c>
      <c r="AI11" s="149" t="inlineStr">
        <is>
          <t>what is open A/P now?</t>
        </is>
      </c>
      <c r="AJ11" s="150" t="n"/>
      <c r="AK11" s="178" t="inlineStr">
        <is>
          <t>Kitchen / Terraces / Eng Bauer</t>
        </is>
      </c>
      <c r="AL11" s="179" t="n"/>
      <c r="AM11" s="171" t="inlineStr">
        <is>
          <t>What is this</t>
        </is>
      </c>
      <c r="AN11" s="1099" t="n"/>
      <c r="AO11" s="1100" t="n"/>
      <c r="AP11" s="1101">
        <f>AC17</f>
        <v/>
      </c>
      <c r="AQ11" s="1102">
        <f>SUM(AN11:AP11)</f>
        <v/>
      </c>
      <c r="AR11" s="1096" t="n"/>
      <c r="AS11" s="150" t="n"/>
      <c r="AT11" s="150" t="n"/>
      <c r="AU11" s="150" t="n"/>
      <c r="AV11" s="150" t="n"/>
      <c r="AW11" s="142" t="n"/>
      <c r="AX11" s="142" t="n"/>
      <c r="AY11" s="142" t="n"/>
      <c r="AZ11" s="142" t="n"/>
      <c r="BA11" s="142" t="n"/>
      <c r="BB11" s="142" t="n"/>
      <c r="BC11" s="142" t="n"/>
      <c r="BD11" s="142" t="n"/>
      <c r="BE11" s="142" t="n"/>
      <c r="BF11" s="142" t="n"/>
      <c r="BG11" s="142" t="n"/>
      <c r="BH11" s="142" t="n"/>
      <c r="BI11" s="142" t="n"/>
      <c r="BJ11" s="144" t="n"/>
      <c r="BK11" s="144" t="n"/>
      <c r="BL11" s="144" t="n"/>
      <c r="BM11" s="144" t="n"/>
      <c r="BN11" s="144" t="n"/>
      <c r="BO11" s="144" t="n"/>
      <c r="BP11" s="144" t="n"/>
    </row>
    <row r="12" ht="24" customHeight="1" s="799" thickBot="1">
      <c r="A12" s="94" t="inlineStr">
        <is>
          <t>Hagenauer Damage claim deduction</t>
        </is>
      </c>
      <c r="B12" s="106" t="n"/>
      <c r="C12" s="106" t="n"/>
      <c r="D12" s="106" t="n"/>
      <c r="E12" s="106" t="n"/>
      <c r="F12" s="106" t="n"/>
      <c r="G12" s="106" t="n"/>
      <c r="H12" s="1077" t="n"/>
      <c r="I12" s="1077" t="n"/>
      <c r="J12" s="1077" t="n"/>
      <c r="K12" s="1077" t="n"/>
      <c r="L12" s="1077" t="n"/>
      <c r="M12" s="1077" t="n"/>
      <c r="N12" s="1077" t="n"/>
      <c r="O12" s="1077" t="n"/>
      <c r="P12" s="1077" t="n"/>
      <c r="Q12" s="1077" t="n"/>
      <c r="R12" s="1077" t="n"/>
      <c r="S12" s="1077" t="n"/>
      <c r="T12" s="1077" t="n"/>
      <c r="U12" s="1077" t="n"/>
      <c r="V12" s="1077" t="n">
        <v>2330000</v>
      </c>
      <c r="W12" s="1077" t="n"/>
      <c r="X12" s="1077" t="n"/>
      <c r="Y12" s="1077" t="n"/>
      <c r="Z12" s="1077" t="n"/>
      <c r="AA12" s="1078" t="n"/>
      <c r="AB12" s="1078" t="n"/>
      <c r="AC12" s="1097" t="n"/>
      <c r="AD12" s="1103">
        <f>SUM(N12:W12)</f>
        <v/>
      </c>
      <c r="AE12" s="1080">
        <f>SUM(X12:AC12)</f>
        <v/>
      </c>
      <c r="AF12" s="1082">
        <f>AD12+AE12</f>
        <v/>
      </c>
      <c r="AG12" s="1098">
        <f>SUM(Z12:AC12)</f>
        <v/>
      </c>
      <c r="AI12" s="149" t="inlineStr">
        <is>
          <t>What is soft accrual?</t>
        </is>
      </c>
      <c r="AJ12" s="150" t="n"/>
      <c r="AK12" s="180" t="inlineStr">
        <is>
          <t>Brisen Development costs</t>
        </is>
      </c>
      <c r="AL12" s="181" t="n"/>
      <c r="AM12" s="161" t="inlineStr">
        <is>
          <t>Hard accrual</t>
        </is>
      </c>
      <c r="AN12" s="1104">
        <f>AA19</f>
        <v/>
      </c>
      <c r="AO12" s="1105">
        <f>AB19</f>
        <v/>
      </c>
      <c r="AP12" s="1106">
        <f>AC19</f>
        <v/>
      </c>
      <c r="AQ12" s="1107">
        <f>SUM(AN12:AP12)</f>
        <v/>
      </c>
      <c r="AR12" s="1096" t="n"/>
      <c r="AS12" s="150" t="n"/>
      <c r="AT12" s="150" t="n"/>
      <c r="AU12" s="150" t="n"/>
      <c r="AV12" s="150" t="n"/>
      <c r="AW12" s="142" t="n"/>
      <c r="AX12" s="142" t="n"/>
      <c r="AY12" s="142" t="n"/>
      <c r="AZ12" s="142" t="n"/>
      <c r="BA12" s="142" t="n"/>
      <c r="BB12" s="142" t="n"/>
      <c r="BC12" s="142" t="n"/>
      <c r="BD12" s="142" t="n"/>
      <c r="BE12" s="142" t="n"/>
      <c r="BF12" s="142" t="n"/>
      <c r="BG12" s="142" t="n"/>
      <c r="BH12" s="142" t="n"/>
      <c r="BI12" s="142" t="n"/>
      <c r="BJ12" s="144" t="n"/>
      <c r="BK12" s="144" t="n"/>
      <c r="BL12" s="144" t="n"/>
      <c r="BM12" s="144" t="n"/>
      <c r="BN12" s="144" t="n"/>
      <c r="BO12" s="144" t="n"/>
      <c r="BP12" s="144" t="n"/>
    </row>
    <row r="13" ht="24" customHeight="1" s="799" thickBot="1">
      <c r="A13" s="94" t="inlineStr">
        <is>
          <t>Hagenauer TU Fee</t>
        </is>
      </c>
      <c r="B13" s="106" t="n"/>
      <c r="C13" s="106" t="n"/>
      <c r="D13" s="106" t="n"/>
      <c r="E13" s="106" t="n"/>
      <c r="F13" s="106" t="n"/>
      <c r="G13" s="106" t="n"/>
      <c r="H13" s="1077" t="n"/>
      <c r="I13" s="1077" t="n">
        <v>-398466</v>
      </c>
      <c r="J13" s="1077" t="n">
        <v>-398466</v>
      </c>
      <c r="K13" s="1077" t="n">
        <v>-398466</v>
      </c>
      <c r="L13" s="1077" t="n">
        <v>-398466</v>
      </c>
      <c r="M13" s="1077" t="n">
        <v>-398466</v>
      </c>
      <c r="N13" s="1077" t="n">
        <v>-398466</v>
      </c>
      <c r="O13" s="1077" t="n">
        <v>-398466</v>
      </c>
      <c r="P13" s="1077" t="n">
        <v>-398466</v>
      </c>
      <c r="Q13" s="1077" t="n">
        <v>-398466</v>
      </c>
      <c r="R13" s="1077" t="n">
        <v>-132822</v>
      </c>
      <c r="S13" s="1077" t="n">
        <v>-100000</v>
      </c>
      <c r="T13" s="1077" t="n">
        <v>-100000</v>
      </c>
      <c r="U13" s="1077" t="n">
        <v>-100000</v>
      </c>
      <c r="V13" s="1077" t="n">
        <v>-100000</v>
      </c>
      <c r="W13" s="1077" t="n"/>
      <c r="X13" s="1077" t="n"/>
      <c r="Y13" s="1077" t="n"/>
      <c r="Z13" s="1077" t="n"/>
      <c r="AD13" s="1080">
        <f>SUM(N13:W13)</f>
        <v/>
      </c>
      <c r="AE13" s="1080">
        <f>SUM(X13:AC13)</f>
        <v/>
      </c>
      <c r="AF13" s="1082">
        <f>AD13+AE13</f>
        <v/>
      </c>
      <c r="AH13" s="108" t="inlineStr">
        <is>
          <t xml:space="preserve">Should the net equity requirements only? </t>
        </is>
      </c>
      <c r="AI13" s="149" t="inlineStr">
        <is>
          <t>VAT recon of past</t>
        </is>
      </c>
      <c r="AJ13" s="150" t="n"/>
      <c r="AK13" s="150" t="n"/>
      <c r="AL13" s="150" t="n"/>
      <c r="AM13" s="150" t="n"/>
      <c r="AN13" s="1096" t="n"/>
      <c r="AO13" s="1096" t="n"/>
      <c r="AP13" s="1096" t="n"/>
      <c r="AQ13" s="1096" t="n"/>
      <c r="AR13" s="1096" t="n"/>
      <c r="AS13" s="150" t="n"/>
      <c r="AT13" s="150" t="n"/>
      <c r="AU13" s="150" t="n"/>
      <c r="AV13" s="150" t="n"/>
      <c r="AW13" s="142" t="n"/>
      <c r="AX13" s="142" t="n"/>
      <c r="AY13" s="142" t="n"/>
      <c r="AZ13" s="142" t="n"/>
      <c r="BA13" s="142" t="n"/>
      <c r="BB13" s="142" t="n"/>
      <c r="BC13" s="142" t="n"/>
      <c r="BD13" s="142" t="n"/>
      <c r="BE13" s="142" t="n"/>
      <c r="BF13" s="142" t="n"/>
      <c r="BG13" s="142" t="n"/>
      <c r="BH13" s="142" t="n"/>
      <c r="BI13" s="142" t="n"/>
      <c r="BJ13" s="144" t="n"/>
      <c r="BK13" s="144" t="n"/>
      <c r="BL13" s="144" t="n"/>
      <c r="BM13" s="144" t="n"/>
      <c r="BN13" s="144" t="n"/>
      <c r="BO13" s="144" t="n"/>
      <c r="BP13" s="144" t="n"/>
    </row>
    <row r="14" ht="24" customHeight="1" s="799" thickBot="1">
      <c r="A14" s="109" t="inlineStr">
        <is>
          <t>Hotel replacement Hagenauer</t>
        </is>
      </c>
      <c r="B14" s="106" t="n"/>
      <c r="C14" s="106" t="n"/>
      <c r="D14" s="106" t="n"/>
      <c r="E14" s="106" t="n"/>
      <c r="F14" s="106" t="n"/>
      <c r="G14" s="106" t="n"/>
      <c r="H14" s="1077" t="n"/>
      <c r="I14" s="1077" t="n"/>
      <c r="J14" s="1077" t="n"/>
      <c r="K14" s="1077" t="n"/>
      <c r="L14" s="1077" t="n"/>
      <c r="M14" s="1077" t="n"/>
      <c r="N14" s="1077" t="n"/>
      <c r="O14" s="1077" t="n"/>
      <c r="P14" s="1077" t="n"/>
      <c r="Q14" s="1077" t="n"/>
      <c r="R14" s="1077" t="n"/>
      <c r="S14" s="1077" t="n"/>
      <c r="T14" s="1077" t="n"/>
      <c r="U14" s="1077" t="n"/>
      <c r="V14" s="1077" t="n"/>
      <c r="W14" s="1077" t="n"/>
      <c r="X14" s="1077" t="n"/>
      <c r="Y14" s="1077" t="n"/>
      <c r="Z14" s="1077" t="n"/>
      <c r="AA14" s="1103" t="n">
        <v>-350000</v>
      </c>
      <c r="AB14" s="1103" t="n">
        <v>-350000</v>
      </c>
      <c r="AC14" s="1108" t="n">
        <v>-350000</v>
      </c>
      <c r="AD14" s="1080">
        <f>SUM(N14:W14)</f>
        <v/>
      </c>
      <c r="AE14" s="1103">
        <f>SUM(X14:AC14)</f>
        <v/>
      </c>
      <c r="AF14" s="1082">
        <f>AD14+AE14</f>
        <v/>
      </c>
      <c r="AG14" s="1098">
        <f>SUM(AA14:AC14)</f>
        <v/>
      </c>
      <c r="AH14" s="108" t="n"/>
      <c r="AI14" s="149" t="inlineStr">
        <is>
          <t>Are the CF items net of VAT?</t>
        </is>
      </c>
      <c r="AJ14" s="150" t="n"/>
      <c r="AK14" s="190" t="inlineStr">
        <is>
          <t>MOVIE Hotel operations</t>
        </is>
      </c>
      <c r="AL14" s="191" t="n"/>
      <c r="AM14" s="150" t="n"/>
      <c r="AN14" s="1088">
        <f>SUM(AN15:AN17)</f>
        <v/>
      </c>
      <c r="AO14" s="1089">
        <f>SUM(AO15:AO17)</f>
        <v/>
      </c>
      <c r="AP14" s="1090">
        <f>SUM(AP15:AP17)</f>
        <v/>
      </c>
      <c r="AQ14" s="1091">
        <f>SUM(AQ15:AQ17)</f>
        <v/>
      </c>
      <c r="AR14" s="1096" t="n"/>
      <c r="AS14" s="150" t="n"/>
      <c r="AT14" s="150" t="n"/>
      <c r="AU14" s="150" t="n"/>
      <c r="AV14" s="150" t="n"/>
      <c r="AW14" s="142" t="n"/>
      <c r="AX14" s="142" t="n"/>
      <c r="AY14" s="142" t="n"/>
      <c r="AZ14" s="142" t="n"/>
      <c r="BA14" s="142" t="n"/>
      <c r="BB14" s="142" t="n"/>
      <c r="BC14" s="142" t="n"/>
      <c r="BD14" s="142" t="n"/>
      <c r="BE14" s="142" t="n"/>
      <c r="BF14" s="142" t="n"/>
      <c r="BG14" s="142" t="n"/>
      <c r="BH14" s="142" t="n"/>
      <c r="BI14" s="142" t="n"/>
      <c r="BJ14" s="144" t="n"/>
      <c r="BK14" s="144" t="n"/>
      <c r="BL14" s="144" t="n"/>
      <c r="BM14" s="144" t="n"/>
      <c r="BN14" s="144" t="n"/>
      <c r="BO14" s="144" t="n"/>
      <c r="BP14" s="144" t="n"/>
    </row>
    <row r="15" ht="24" customHeight="1" s="799">
      <c r="A15" s="94" t="inlineStr">
        <is>
          <t xml:space="preserve">Apartments standard </t>
        </is>
      </c>
      <c r="B15" s="106" t="n"/>
      <c r="C15" s="106" t="n"/>
      <c r="D15" s="106" t="n"/>
      <c r="E15" s="106" t="n"/>
      <c r="F15" s="106" t="n"/>
      <c r="G15" s="106" t="n"/>
      <c r="H15" s="1077" t="n"/>
      <c r="I15" s="1077" t="n">
        <v>-48625</v>
      </c>
      <c r="J15" s="1077" t="n"/>
      <c r="K15" s="1077" t="n"/>
      <c r="L15" s="1077" t="n"/>
      <c r="M15" s="1077" t="n"/>
      <c r="N15" s="1077">
        <f>-55798-14500-8865</f>
        <v/>
      </c>
      <c r="O15" s="1077">
        <f>-59683-45355</f>
        <v/>
      </c>
      <c r="P15" s="1077">
        <f>-90670-72423</f>
        <v/>
      </c>
      <c r="Q15" s="1077" t="n"/>
      <c r="R15" s="1077" t="n">
        <v>-114053</v>
      </c>
      <c r="S15" s="1077" t="n">
        <v>-510696</v>
      </c>
      <c r="T15" s="1077">
        <f>-89511-76118-186068-10488-63695-30275</f>
        <v/>
      </c>
      <c r="U15" s="1077">
        <f>-20109.67-29272.66-13872.52-37004.44</f>
        <v/>
      </c>
      <c r="V15" s="1077" t="n">
        <v>-226092.69</v>
      </c>
      <c r="W15" s="1077" t="n">
        <v>0</v>
      </c>
      <c r="X15" s="1077" t="n">
        <v>-139034</v>
      </c>
      <c r="Y15" s="1077" t="n"/>
      <c r="Z15" s="1077">
        <f>-25511-305170.67-17771-102826-41033-26769</f>
        <v/>
      </c>
      <c r="AA15" s="1078" t="n">
        <v>-550000</v>
      </c>
      <c r="AB15" s="1078" t="n">
        <v>-550000</v>
      </c>
      <c r="AC15" s="1079" t="n">
        <v>-550000</v>
      </c>
      <c r="AD15" s="1080">
        <f>SUM(N15:W15)</f>
        <v/>
      </c>
      <c r="AE15" s="1080">
        <f>SUM(X15:AC15)</f>
        <v/>
      </c>
      <c r="AF15" s="1082">
        <f>AD15+AE15</f>
        <v/>
      </c>
      <c r="AG15" s="1098">
        <f>SUM(AA15:AC15)</f>
        <v/>
      </c>
      <c r="AH15" s="108" t="n"/>
      <c r="AI15" s="149" t="inlineStr">
        <is>
          <t>Review BD costs</t>
        </is>
      </c>
      <c r="AJ15" s="150" t="n"/>
      <c r="AK15" s="182" t="inlineStr">
        <is>
          <t>Preopening payables</t>
        </is>
      </c>
      <c r="AL15" s="183" t="n"/>
      <c r="AM15" s="150" t="n"/>
      <c r="AN15" s="1099">
        <f>AA24</f>
        <v/>
      </c>
      <c r="AO15" s="1100" t="n"/>
      <c r="AP15" s="1100" t="n"/>
      <c r="AQ15" s="1102">
        <f>SUM(AN15:AP15)</f>
        <v/>
      </c>
      <c r="AR15" s="1096" t="n"/>
      <c r="AS15" s="150" t="n"/>
      <c r="AT15" s="150" t="n"/>
      <c r="AU15" s="150" t="n"/>
      <c r="AV15" s="150" t="n"/>
      <c r="AW15" s="142" t="n"/>
      <c r="AX15" s="142" t="n"/>
      <c r="AY15" s="142" t="n"/>
      <c r="AZ15" s="142" t="n"/>
      <c r="BA15" s="142" t="n"/>
      <c r="BB15" s="142" t="n"/>
      <c r="BC15" s="142" t="n"/>
      <c r="BD15" s="142" t="n"/>
      <c r="BE15" s="142" t="n"/>
      <c r="BF15" s="142" t="n"/>
      <c r="BG15" s="142" t="n"/>
      <c r="BH15" s="142" t="n"/>
      <c r="BI15" s="142" t="n"/>
      <c r="BJ15" s="144" t="n"/>
      <c r="BK15" s="144" t="n"/>
      <c r="BL15" s="144" t="n"/>
      <c r="BM15" s="144" t="n"/>
      <c r="BN15" s="144" t="n"/>
      <c r="BO15" s="144" t="n"/>
      <c r="BP15" s="144" t="n"/>
    </row>
    <row r="16" ht="24" customHeight="1" s="799">
      <c r="A16" s="109" t="inlineStr">
        <is>
          <t>Apartments replacment of Hagenauer</t>
        </is>
      </c>
      <c r="B16" s="106" t="n"/>
      <c r="C16" s="106" t="n"/>
      <c r="D16" s="106" t="n"/>
      <c r="E16" s="106" t="n"/>
      <c r="F16" s="106" t="n"/>
      <c r="G16" s="106" t="n"/>
      <c r="H16" s="1077" t="n"/>
      <c r="I16" s="1077" t="n"/>
      <c r="J16" s="1077" t="n"/>
      <c r="K16" s="1077" t="n"/>
      <c r="L16" s="1077" t="n"/>
      <c r="M16" s="1077" t="n"/>
      <c r="N16" s="1077" t="n"/>
      <c r="O16" s="1077" t="n"/>
      <c r="P16" s="1077" t="n"/>
      <c r="Q16" s="1077" t="n"/>
      <c r="R16" s="1077" t="n"/>
      <c r="S16" s="1077" t="n"/>
      <c r="T16" s="1077" t="n"/>
      <c r="U16" s="1077" t="n"/>
      <c r="V16" s="1077" t="n"/>
      <c r="W16" s="1077" t="n"/>
      <c r="X16" s="1077" t="n"/>
      <c r="Y16" s="1077" t="n"/>
      <c r="Z16" s="1077" t="n"/>
      <c r="AA16" s="1078" t="n">
        <v>-150000</v>
      </c>
      <c r="AB16" s="1078" t="n">
        <v>-150000</v>
      </c>
      <c r="AC16" s="1079" t="n">
        <v>-150000</v>
      </c>
      <c r="AD16" s="1080">
        <f>SUM(N16:W16)</f>
        <v/>
      </c>
      <c r="AE16" s="1103">
        <f>SUM(X16:AC16)</f>
        <v/>
      </c>
      <c r="AF16" s="1082">
        <f>AD16+AE16</f>
        <v/>
      </c>
      <c r="AG16" s="1098">
        <f>SUM(AA16:AC16)</f>
        <v/>
      </c>
      <c r="AH16" s="108" t="n"/>
      <c r="AI16" s="149" t="inlineStr">
        <is>
          <t>is this Hotel subcontractors?</t>
        </is>
      </c>
      <c r="AJ16" s="150" t="n"/>
      <c r="AK16" s="176" t="inlineStr">
        <is>
          <t>Property Management</t>
        </is>
      </c>
      <c r="AL16" s="177" t="n"/>
      <c r="AM16" s="150" t="n"/>
      <c r="AN16" s="1109">
        <f>AA18</f>
        <v/>
      </c>
      <c r="AO16" s="1110">
        <f>AB18</f>
        <v/>
      </c>
      <c r="AP16" s="1110">
        <f>AC18</f>
        <v/>
      </c>
      <c r="AQ16" s="1102">
        <f>SUM(AN16:AP16)</f>
        <v/>
      </c>
      <c r="AR16" s="1096" t="n"/>
      <c r="AS16" s="150" t="n"/>
      <c r="AT16" s="150" t="n"/>
      <c r="AU16" s="150" t="n"/>
      <c r="AV16" s="150" t="n"/>
      <c r="AW16" s="142" t="n"/>
      <c r="AX16" s="142" t="n"/>
      <c r="AY16" s="142" t="n"/>
      <c r="AZ16" s="142" t="n"/>
      <c r="BA16" s="142" t="n"/>
      <c r="BB16" s="142" t="n"/>
      <c r="BC16" s="142" t="n"/>
      <c r="BD16" s="142" t="n"/>
      <c r="BE16" s="142" t="n"/>
      <c r="BF16" s="142" t="n"/>
      <c r="BG16" s="142" t="n"/>
      <c r="BH16" s="142" t="n"/>
      <c r="BI16" s="142" t="n"/>
      <c r="BJ16" s="144" t="n"/>
      <c r="BK16" s="144" t="n"/>
      <c r="BL16" s="144" t="n"/>
      <c r="BM16" s="144" t="n"/>
      <c r="BN16" s="144" t="n"/>
      <c r="BO16" s="144" t="n"/>
      <c r="BP16" s="144" t="n"/>
    </row>
    <row r="17" ht="24" customHeight="1" s="799" thickBot="1">
      <c r="A17" s="94" t="inlineStr">
        <is>
          <t>kitchen/terraces/facade/Engelmann Bauer</t>
        </is>
      </c>
      <c r="B17" s="106" t="n"/>
      <c r="C17" s="106" t="n"/>
      <c r="D17" s="106" t="n"/>
      <c r="E17" s="106" t="n"/>
      <c r="F17" s="106" t="n"/>
      <c r="G17" s="106" t="n"/>
      <c r="H17" s="1077" t="n"/>
      <c r="I17" s="1077" t="n"/>
      <c r="J17" s="1077" t="n"/>
      <c r="K17" s="1077" t="n">
        <v>-231851</v>
      </c>
      <c r="L17" s="1077" t="n"/>
      <c r="M17" s="1077" t="n">
        <v>-347953</v>
      </c>
      <c r="N17" s="1077" t="n"/>
      <c r="O17" s="1077" t="n"/>
      <c r="P17" s="1077" t="n">
        <v>-85568</v>
      </c>
      <c r="Q17" s="1077" t="n"/>
      <c r="R17" s="1077" t="n"/>
      <c r="S17" s="1077" t="n">
        <v>-267200</v>
      </c>
      <c r="T17" s="1077" t="n"/>
      <c r="U17" s="1077" t="n"/>
      <c r="V17" s="1077" t="n"/>
      <c r="W17" s="1077" t="n"/>
      <c r="X17" s="1077" t="n"/>
      <c r="Y17" s="1077" t="n"/>
      <c r="Z17" s="1077" t="n">
        <v>-138216</v>
      </c>
      <c r="AA17" s="1078" t="n"/>
      <c r="AB17" s="1078" t="n"/>
      <c r="AC17" s="1097" t="n">
        <v>-150000</v>
      </c>
      <c r="AD17" s="1080">
        <f>SUM(N17:W17)</f>
        <v/>
      </c>
      <c r="AE17" s="1080">
        <f>SUM(X17:AC17)</f>
        <v/>
      </c>
      <c r="AF17" s="1082">
        <f>AD17+AE17</f>
        <v/>
      </c>
      <c r="AG17" s="1098">
        <f>SUM(AA17:AC17)</f>
        <v/>
      </c>
      <c r="AH17" s="108" t="n"/>
      <c r="AI17" s="149" t="inlineStr">
        <is>
          <t>80k pm sales or PM fee?</t>
        </is>
      </c>
      <c r="AJ17" s="150" t="n"/>
      <c r="AK17" s="188" t="inlineStr">
        <is>
          <t>Operations funding / shortfall</t>
        </is>
      </c>
      <c r="AL17" s="189" t="n"/>
      <c r="AM17" s="150" t="n"/>
      <c r="AN17" s="1104">
        <f>AA25</f>
        <v/>
      </c>
      <c r="AO17" s="1105" t="n"/>
      <c r="AP17" s="1105" t="n"/>
      <c r="AQ17" s="1107">
        <f>SUM(AN17:AP17)</f>
        <v/>
      </c>
      <c r="AR17" s="1096" t="n"/>
      <c r="AS17" s="150" t="n"/>
      <c r="AT17" s="150" t="n"/>
      <c r="AU17" s="150" t="n"/>
      <c r="AV17" s="150" t="n"/>
      <c r="AW17" s="142" t="n"/>
      <c r="AX17" s="142" t="n"/>
      <c r="AY17" s="142" t="n"/>
      <c r="AZ17" s="142" t="n"/>
      <c r="BA17" s="142" t="n"/>
      <c r="BB17" s="142" t="n"/>
      <c r="BC17" s="142" t="n"/>
      <c r="BD17" s="142" t="n"/>
      <c r="BE17" s="142" t="n"/>
      <c r="BF17" s="142" t="n"/>
      <c r="BG17" s="142" t="n"/>
      <c r="BH17" s="142" t="n"/>
      <c r="BI17" s="142" t="n"/>
      <c r="BJ17" s="144" t="n"/>
      <c r="BK17" s="144" t="n"/>
      <c r="BL17" s="144" t="n"/>
      <c r="BM17" s="144" t="n"/>
      <c r="BN17" s="144" t="n"/>
      <c r="BO17" s="144" t="n"/>
      <c r="BP17" s="144" t="n"/>
    </row>
    <row r="18" ht="24" customHeight="1" s="799" thickBot="1">
      <c r="A18" s="94" t="inlineStr">
        <is>
          <t>sales Fee, property management</t>
        </is>
      </c>
      <c r="B18" s="106" t="n"/>
      <c r="C18" s="106" t="n"/>
      <c r="D18" s="106" t="n"/>
      <c r="E18" s="106" t="n"/>
      <c r="F18" s="106" t="n"/>
      <c r="G18" s="106" t="n"/>
      <c r="H18" s="1077" t="n"/>
      <c r="I18" s="1077" t="n"/>
      <c r="J18" s="1077" t="n"/>
      <c r="K18" s="1077" t="n"/>
      <c r="L18" s="1077" t="n"/>
      <c r="M18" s="1077" t="n"/>
      <c r="N18" s="1077" t="n"/>
      <c r="O18" s="1077" t="n"/>
      <c r="P18" s="1077" t="n"/>
      <c r="Q18" s="1077" t="n">
        <v>-24550.24</v>
      </c>
      <c r="R18" s="1077" t="n"/>
      <c r="S18" s="1077" t="n">
        <v>-172961</v>
      </c>
      <c r="T18" s="1077" t="n">
        <v>-80000</v>
      </c>
      <c r="U18" s="1077" t="n"/>
      <c r="V18" s="1077">
        <f>-157200-52422</f>
        <v/>
      </c>
      <c r="W18" s="1077">
        <f>-372623-283800</f>
        <v/>
      </c>
      <c r="X18" s="1077" t="n">
        <v>-110000</v>
      </c>
      <c r="Y18" s="1077" t="n"/>
      <c r="Z18" s="1077" t="n">
        <v>-353531</v>
      </c>
      <c r="AA18" s="1078">
        <f>-50000-30000</f>
        <v/>
      </c>
      <c r="AB18" s="1078">
        <f>-50000-30000</f>
        <v/>
      </c>
      <c r="AC18" s="1079">
        <f>-50000-30000</f>
        <v/>
      </c>
      <c r="AD18" s="1080">
        <f>SUM(N18:W18)</f>
        <v/>
      </c>
      <c r="AE18" s="1080">
        <f>SUM(X18:AC18)</f>
        <v/>
      </c>
      <c r="AF18" s="1082">
        <f>AD18+AE18</f>
        <v/>
      </c>
      <c r="AG18" s="1098">
        <f>SUM(AA18:AC18)</f>
        <v/>
      </c>
      <c r="AH18" s="108" t="n"/>
      <c r="AI18" s="149" t="inlineStr">
        <is>
          <t>Split BD costs to Dev / Ops</t>
        </is>
      </c>
      <c r="AJ18" s="150" t="n"/>
      <c r="AK18" s="150" t="n"/>
      <c r="AL18" s="150" t="n"/>
      <c r="AM18" s="150" t="n"/>
      <c r="AN18" s="1096" t="n"/>
      <c r="AO18" s="1096" t="n"/>
      <c r="AP18" s="1096" t="n"/>
      <c r="AQ18" s="1096" t="n"/>
      <c r="AR18" s="1096" t="n"/>
      <c r="AS18" s="150" t="n"/>
      <c r="AT18" s="150" t="n"/>
      <c r="AU18" s="150" t="n"/>
      <c r="AV18" s="150" t="n"/>
      <c r="AW18" s="142" t="n"/>
      <c r="AX18" s="142" t="n"/>
      <c r="AY18" s="142" t="n"/>
      <c r="AZ18" s="142" t="n"/>
      <c r="BA18" s="142" t="n"/>
      <c r="BB18" s="142" t="n"/>
      <c r="BC18" s="142" t="n"/>
      <c r="BD18" s="142" t="n"/>
      <c r="BE18" s="142" t="n"/>
      <c r="BF18" s="142" t="n"/>
      <c r="BG18" s="142" t="n"/>
      <c r="BH18" s="142" t="n"/>
      <c r="BI18" s="142" t="n"/>
      <c r="BJ18" s="144" t="n"/>
      <c r="BK18" s="144" t="n"/>
      <c r="BL18" s="144" t="n"/>
      <c r="BM18" s="144" t="n"/>
      <c r="BN18" s="144" t="n"/>
      <c r="BO18" s="144" t="n"/>
      <c r="BP18" s="144" t="n"/>
    </row>
    <row r="19" ht="24" customHeight="1" s="799" thickBot="1">
      <c r="A19" s="94" t="inlineStr">
        <is>
          <t>Development Cost</t>
        </is>
      </c>
      <c r="B19" s="106" t="n"/>
      <c r="C19" s="106" t="n"/>
      <c r="D19" s="106" t="n"/>
      <c r="E19" s="106" t="n"/>
      <c r="F19" s="106" t="n"/>
      <c r="G19" s="106" t="n"/>
      <c r="H19" s="1077" t="n"/>
      <c r="I19" s="1077" t="n">
        <v>-375098</v>
      </c>
      <c r="J19" s="1077" t="n">
        <v>-348820</v>
      </c>
      <c r="K19" s="1077">
        <f>-573519+122058</f>
        <v/>
      </c>
      <c r="L19" s="1077" t="n">
        <v>-305755</v>
      </c>
      <c r="M19" s="1077">
        <f>-505196-170066+20595-162965</f>
        <v/>
      </c>
      <c r="N19" s="1077" t="n">
        <v>-365175</v>
      </c>
      <c r="O19" s="1077" t="n">
        <v>-357968</v>
      </c>
      <c r="P19" s="1077" t="n">
        <v>-319469</v>
      </c>
      <c r="Q19" s="1077">
        <f>-864623-Q18-Q20-Q22</f>
        <v/>
      </c>
      <c r="R19" s="1077">
        <f>-435082-262600</f>
        <v/>
      </c>
      <c r="S19" s="1077" t="n">
        <v>-296047</v>
      </c>
      <c r="T19" s="1077">
        <f>-455408+80000</f>
        <v/>
      </c>
      <c r="U19" s="1077">
        <f>-277711.72-4000-3220-900-4410-68920.4</f>
        <v/>
      </c>
      <c r="V19" s="1077">
        <f>-200522-416726</f>
        <v/>
      </c>
      <c r="W19" s="1077">
        <f>-308527+41400</f>
        <v/>
      </c>
      <c r="X19" s="1077" t="n">
        <v>-385141</v>
      </c>
      <c r="Y19" s="1077" t="n">
        <v>-173180</v>
      </c>
      <c r="Z19" s="1077" t="n">
        <v>-237256</v>
      </c>
      <c r="AA19" s="1078" t="n">
        <v>-350000</v>
      </c>
      <c r="AB19" s="1078" t="n">
        <v>-350000</v>
      </c>
      <c r="AC19" s="1079" t="n">
        <v>-350000</v>
      </c>
      <c r="AD19" s="1080">
        <f>SUM(N19:W19)</f>
        <v/>
      </c>
      <c r="AE19" s="1080">
        <f>SUM(X19:AC19)</f>
        <v/>
      </c>
      <c r="AF19" s="1082">
        <f>AD19+AE19</f>
        <v/>
      </c>
      <c r="AG19" s="1098">
        <f>SUM(AA19:AC19)</f>
        <v/>
      </c>
      <c r="AH19" s="108" t="n"/>
      <c r="AI19" s="149" t="inlineStr">
        <is>
          <t>Aukera interest is quaterly</t>
        </is>
      </c>
      <c r="AJ19" s="150" t="n"/>
      <c r="AK19" s="190" t="inlineStr">
        <is>
          <t>Taxes</t>
        </is>
      </c>
      <c r="AL19" s="191" t="n"/>
      <c r="AM19" s="150" t="n"/>
      <c r="AN19" s="1088">
        <f>SUM(AN20:AN21)</f>
        <v/>
      </c>
      <c r="AO19" s="1089">
        <f>SUM(AO20:AO21)</f>
        <v/>
      </c>
      <c r="AP19" s="1090">
        <f>SUM(AP20:AP21)</f>
        <v/>
      </c>
      <c r="AQ19" s="1091">
        <f>SUM(AQ20:AQ21)</f>
        <v/>
      </c>
      <c r="AR19" s="1096" t="n"/>
      <c r="AS19" s="150" t="n"/>
      <c r="AT19" s="150" t="n"/>
      <c r="AU19" s="150" t="n"/>
      <c r="AV19" s="150" t="n"/>
      <c r="AW19" s="142" t="n"/>
      <c r="AX19" s="142" t="n"/>
      <c r="AY19" s="142" t="n"/>
      <c r="AZ19" s="142" t="n"/>
      <c r="BA19" s="142" t="n"/>
      <c r="BB19" s="142" t="n"/>
      <c r="BC19" s="142" t="n"/>
      <c r="BD19" s="142" t="n"/>
      <c r="BE19" s="142" t="n"/>
      <c r="BF19" s="142" t="n"/>
      <c r="BG19" s="142" t="n"/>
      <c r="BH19" s="142" t="n"/>
      <c r="BI19" s="142" t="n"/>
      <c r="BJ19" s="144" t="n"/>
      <c r="BK19" s="144" t="n"/>
      <c r="BL19" s="144" t="n"/>
      <c r="BM19" s="144" t="n"/>
      <c r="BN19" s="144" t="n"/>
      <c r="BO19" s="144" t="n"/>
      <c r="BP19" s="144" t="n"/>
    </row>
    <row r="20" ht="24" customHeight="1" s="799">
      <c r="A20" s="110" t="inlineStr">
        <is>
          <t xml:space="preserve">Art </t>
        </is>
      </c>
      <c r="B20" s="106" t="n"/>
      <c r="C20" s="106" t="n"/>
      <c r="D20" s="106" t="n"/>
      <c r="E20" s="106" t="n"/>
      <c r="F20" s="106" t="n"/>
      <c r="G20" s="106" t="n"/>
      <c r="H20" s="1077" t="n"/>
      <c r="I20" s="1077" t="n"/>
      <c r="J20" s="1077" t="n"/>
      <c r="K20" s="1077" t="n"/>
      <c r="L20" s="1077" t="n"/>
      <c r="M20" s="1077">
        <f>-40147-7095</f>
        <v/>
      </c>
      <c r="N20" s="1077" t="n"/>
      <c r="O20" s="1077">
        <f>-44858</f>
        <v/>
      </c>
      <c r="P20" s="1077">
        <f>-17700-13062-7440-4655-71168</f>
        <v/>
      </c>
      <c r="Q20" s="1077" t="n">
        <v>-31112</v>
      </c>
      <c r="R20" s="1077" t="n">
        <v>-4903</v>
      </c>
      <c r="S20" s="1077" t="n"/>
      <c r="T20" s="1077" t="n">
        <v>-21669</v>
      </c>
      <c r="U20" s="1077">
        <f>-4023-4727-13110-19200</f>
        <v/>
      </c>
      <c r="V20" s="1077">
        <f>-19200-44599</f>
        <v/>
      </c>
      <c r="W20" s="1077" t="n"/>
      <c r="X20" s="1077" t="n"/>
      <c r="Y20" s="1077" t="n"/>
      <c r="Z20" s="1077" t="n"/>
      <c r="AA20" s="1078" t="n"/>
      <c r="AB20" s="1078" t="n"/>
      <c r="AC20" s="1097" t="n"/>
      <c r="AD20" s="1080">
        <f>SUM(N20:W20)</f>
        <v/>
      </c>
      <c r="AE20" s="1080">
        <f>SUM(X20:AC20)</f>
        <v/>
      </c>
      <c r="AF20" s="1082">
        <f>AD20+AE20</f>
        <v/>
      </c>
      <c r="AG20" s="1098">
        <f>SUM(AA20:AC20)</f>
        <v/>
      </c>
      <c r="AH20" s="108" t="n"/>
      <c r="AI20" s="149" t="inlineStr">
        <is>
          <t>Reconcile Loan / Equity from Sales</t>
        </is>
      </c>
      <c r="AJ20" s="150" t="n"/>
      <c r="AK20" s="182" t="inlineStr">
        <is>
          <t>VAT outgoing</t>
        </is>
      </c>
      <c r="AL20" s="183" t="n"/>
      <c r="AM20" s="150" t="n"/>
      <c r="AN20" s="1099">
        <f>AA27</f>
        <v/>
      </c>
      <c r="AO20" s="1100" t="n"/>
      <c r="AP20" s="1100" t="n"/>
      <c r="AQ20" s="1102">
        <f>SUM(AN20:AP20)</f>
        <v/>
      </c>
      <c r="AR20" s="1096" t="n"/>
      <c r="AS20" s="150" t="n"/>
      <c r="AT20" s="150" t="n"/>
      <c r="AU20" s="150" t="n"/>
      <c r="AV20" s="150" t="n"/>
      <c r="AW20" s="142" t="n"/>
      <c r="AX20" s="142" t="n"/>
      <c r="AY20" s="142" t="n"/>
      <c r="AZ20" s="142" t="n"/>
      <c r="BA20" s="142" t="n"/>
      <c r="BB20" s="142" t="n"/>
      <c r="BC20" s="142" t="n"/>
      <c r="BD20" s="142" t="n"/>
      <c r="BE20" s="142" t="n"/>
      <c r="BF20" s="142" t="n"/>
      <c r="BG20" s="142" t="n"/>
      <c r="BH20" s="142" t="n"/>
      <c r="BI20" s="142" t="n"/>
      <c r="BJ20" s="144" t="n"/>
      <c r="BK20" s="144" t="n"/>
      <c r="BL20" s="144" t="n"/>
      <c r="BM20" s="144" t="n"/>
      <c r="BN20" s="144" t="n"/>
      <c r="BO20" s="144" t="n"/>
      <c r="BP20" s="144" t="n"/>
    </row>
    <row r="21" ht="24" customHeight="1" s="799" thickBot="1">
      <c r="A21" s="94" t="inlineStr">
        <is>
          <t>OS&amp;E,fitness including VAT</t>
        </is>
      </c>
      <c r="B21" s="106" t="n"/>
      <c r="C21" s="106" t="n"/>
      <c r="D21" s="106" t="n"/>
      <c r="E21" s="106" t="n"/>
      <c r="F21" s="106" t="n"/>
      <c r="G21" s="106" t="n"/>
      <c r="H21" s="1077" t="n"/>
      <c r="I21" s="1077" t="n"/>
      <c r="J21" s="1077" t="n"/>
      <c r="K21" s="1077" t="n"/>
      <c r="L21" s="1077" t="n"/>
      <c r="M21" s="1077">
        <f>-460000-600000</f>
        <v/>
      </c>
      <c r="N21" s="1077" t="n">
        <v>-465000</v>
      </c>
      <c r="O21" s="1077" t="n"/>
      <c r="P21" s="1077">
        <f>-775000-76307</f>
        <v/>
      </c>
      <c r="Q21" s="1077" t="n"/>
      <c r="R21" s="1077" t="n">
        <v>-150000</v>
      </c>
      <c r="S21" s="1077" t="n">
        <v>-55279</v>
      </c>
      <c r="T21" s="1077">
        <f>-150000-68010-21364</f>
        <v/>
      </c>
      <c r="U21" s="1077">
        <f>-104979.13-15625</f>
        <v/>
      </c>
      <c r="V21" s="1077" t="n">
        <v>-55279</v>
      </c>
      <c r="W21" s="1077" t="n"/>
      <c r="X21" s="1077" t="n">
        <v>-11513</v>
      </c>
      <c r="Y21" s="1077" t="n">
        <v>-18426</v>
      </c>
      <c r="Z21" s="1077" t="n"/>
      <c r="AA21" s="1078" t="n"/>
      <c r="AB21" s="1078" t="n"/>
      <c r="AC21" s="1097" t="n"/>
      <c r="AD21" s="1080">
        <f>SUM(N21:W21)</f>
        <v/>
      </c>
      <c r="AE21" s="1080">
        <f>SUM(X21:AC21)</f>
        <v/>
      </c>
      <c r="AF21" s="1082">
        <f>AD21+AE21</f>
        <v/>
      </c>
      <c r="AG21" s="1098">
        <f>SUM(AA21:AC21)</f>
        <v/>
      </c>
      <c r="AH21" s="108" t="n"/>
      <c r="AI21" s="149" t="n"/>
      <c r="AJ21" s="150" t="n"/>
      <c r="AK21" s="188" t="inlineStr">
        <is>
          <t>VAT incoming</t>
        </is>
      </c>
      <c r="AL21" s="189" t="n"/>
      <c r="AM21" s="150" t="n"/>
      <c r="AN21" s="1104">
        <f>AA29</f>
        <v/>
      </c>
      <c r="AO21" s="1105" t="n"/>
      <c r="AP21" s="1105" t="n"/>
      <c r="AQ21" s="1107">
        <f>SUM(AN21:AP21)</f>
        <v/>
      </c>
      <c r="AR21" s="1096" t="n"/>
      <c r="AS21" s="150" t="n"/>
      <c r="AT21" s="150" t="n"/>
      <c r="AU21" s="150" t="n"/>
      <c r="AV21" s="150" t="n"/>
      <c r="AW21" s="142" t="n"/>
      <c r="AX21" s="142" t="n"/>
      <c r="AY21" s="142" t="n"/>
      <c r="AZ21" s="142" t="n"/>
      <c r="BA21" s="142" t="n"/>
      <c r="BB21" s="142" t="n"/>
      <c r="BC21" s="142" t="n"/>
      <c r="BD21" s="142" t="n"/>
      <c r="BE21" s="142" t="n"/>
      <c r="BF21" s="142" t="n"/>
      <c r="BG21" s="142" t="n"/>
      <c r="BH21" s="142" t="n"/>
      <c r="BI21" s="142" t="n"/>
      <c r="BJ21" s="144" t="n"/>
      <c r="BK21" s="144" t="n"/>
      <c r="BL21" s="144" t="n"/>
      <c r="BM21" s="144" t="n"/>
      <c r="BN21" s="144" t="n"/>
      <c r="BO21" s="144" t="n"/>
      <c r="BP21" s="144" t="n"/>
    </row>
    <row r="22" ht="24" customHeight="1" s="799" thickBot="1">
      <c r="A22" s="94" t="inlineStr">
        <is>
          <t>IT</t>
        </is>
      </c>
      <c r="B22" s="106" t="n"/>
      <c r="C22" s="106" t="n"/>
      <c r="D22" s="106" t="n"/>
      <c r="E22" s="106" t="n"/>
      <c r="F22" s="106" t="n"/>
      <c r="G22" s="106" t="n"/>
      <c r="H22" s="1077" t="n"/>
      <c r="I22" s="1077" t="n"/>
      <c r="J22" s="1077" t="n"/>
      <c r="K22" s="1077" t="n">
        <v>-122058</v>
      </c>
      <c r="L22" s="1077">
        <f>-134603-181082</f>
        <v/>
      </c>
      <c r="M22" s="1077">
        <f>-20595-9159-79676-115750-6903</f>
        <v/>
      </c>
      <c r="N22" s="1077" t="n"/>
      <c r="O22" s="1077" t="n"/>
      <c r="P22" s="1077">
        <f>-61091-23002</f>
        <v/>
      </c>
      <c r="Q22" s="1077">
        <f>-9669-189687-71481-17142</f>
        <v/>
      </c>
      <c r="R22" s="1077">
        <f>-60759-211545</f>
        <v/>
      </c>
      <c r="S22" s="1077">
        <f>-68021-254865</f>
        <v/>
      </c>
      <c r="T22" s="1077" t="n">
        <v>-28068</v>
      </c>
      <c r="U22" s="1077">
        <f>-48813.69-225.98-4105.5-7887.27-6791.85-11196</f>
        <v/>
      </c>
      <c r="V22" s="1077" t="n">
        <v>-59541</v>
      </c>
      <c r="W22" s="1077" t="n">
        <v>-180827</v>
      </c>
      <c r="X22" s="1077" t="n">
        <v>-262812</v>
      </c>
      <c r="Y22" s="1077" t="n">
        <v>-102544</v>
      </c>
      <c r="Z22" s="1077" t="n"/>
      <c r="AA22" s="1078" t="n"/>
      <c r="AB22" s="1078" t="n"/>
      <c r="AC22" s="1097" t="n"/>
      <c r="AD22" s="1080">
        <f>SUM(N22:W22)</f>
        <v/>
      </c>
      <c r="AE22" s="1080">
        <f>SUM(X22:AC22)</f>
        <v/>
      </c>
      <c r="AF22" s="1082">
        <f>AD22+AE22</f>
        <v/>
      </c>
      <c r="AG22" s="1098">
        <f>SUM(AA22:AC22)</f>
        <v/>
      </c>
      <c r="AH22" s="108" t="n"/>
      <c r="AI22" s="149" t="n"/>
      <c r="AJ22" s="150" t="n"/>
      <c r="AK22" s="150" t="n"/>
      <c r="AL22" s="150" t="n"/>
      <c r="AM22" s="150" t="n"/>
      <c r="AN22" s="1096" t="n"/>
      <c r="AO22" s="1096" t="n"/>
      <c r="AP22" s="1096" t="n"/>
      <c r="AQ22" s="1096" t="n"/>
      <c r="AR22" s="1096" t="n"/>
      <c r="AS22" s="150" t="n"/>
      <c r="AT22" s="150" t="n"/>
      <c r="AU22" s="150" t="n"/>
      <c r="AV22" s="150" t="n"/>
      <c r="AW22" s="142" t="n"/>
      <c r="AX22" s="142" t="n"/>
      <c r="AY22" s="142" t="n"/>
      <c r="AZ22" s="142" t="n"/>
      <c r="BA22" s="142" t="n"/>
      <c r="BB22" s="142" t="n"/>
      <c r="BC22" s="142" t="n"/>
      <c r="BD22" s="142" t="n"/>
      <c r="BE22" s="142" t="n"/>
      <c r="BF22" s="142" t="n"/>
      <c r="BG22" s="142" t="n"/>
      <c r="BH22" s="142" t="n"/>
      <c r="BI22" s="142" t="n"/>
      <c r="BJ22" s="144" t="n"/>
      <c r="BK22" s="144" t="n"/>
      <c r="BL22" s="144" t="n"/>
      <c r="BM22" s="144" t="n"/>
      <c r="BN22" s="144" t="n"/>
      <c r="BO22" s="144" t="n"/>
      <c r="BP22" s="144" t="n"/>
    </row>
    <row r="23" ht="24" customHeight="1" s="799" thickBot="1">
      <c r="A23" s="94" t="inlineStr">
        <is>
          <t>Mandarin Pre-Opening employees</t>
        </is>
      </c>
      <c r="B23" s="106" t="n"/>
      <c r="C23" s="106" t="n"/>
      <c r="D23" s="106" t="n"/>
      <c r="E23" s="106" t="n"/>
      <c r="F23" s="106" t="n"/>
      <c r="G23" s="106" t="n"/>
      <c r="H23" s="1077" t="n">
        <v>-250000</v>
      </c>
      <c r="I23" s="1077" t="n"/>
      <c r="J23" s="1077" t="n"/>
      <c r="K23" s="1077" t="n"/>
      <c r="L23" s="1077" t="n">
        <v>-100000</v>
      </c>
      <c r="M23" s="1077" t="n">
        <v>-300000</v>
      </c>
      <c r="N23" s="1077" t="n"/>
      <c r="O23" s="1077" t="n">
        <v>-150000</v>
      </c>
      <c r="P23" s="1077" t="n">
        <v>-200000</v>
      </c>
      <c r="Q23" s="1077" t="n">
        <v>-390000</v>
      </c>
      <c r="R23" s="1077" t="n">
        <v>-371000</v>
      </c>
      <c r="S23" s="1077" t="n">
        <v>-850000</v>
      </c>
      <c r="T23" s="1077" t="n">
        <v>-817000</v>
      </c>
      <c r="U23" s="1077" t="n">
        <v>-890000</v>
      </c>
      <c r="V23" s="1077" t="n">
        <v>-1400000</v>
      </c>
      <c r="W23" s="1077" t="n"/>
      <c r="X23" s="1077" t="n"/>
      <c r="Y23" s="1077" t="n"/>
      <c r="Z23" s="1077" t="n"/>
      <c r="AB23" s="1078" t="n"/>
      <c r="AC23" s="1097" t="n"/>
      <c r="AD23" s="1080">
        <f>SUM(N23:W23)</f>
        <v/>
      </c>
      <c r="AE23" s="1080">
        <f>SUM(X23:AC23)</f>
        <v/>
      </c>
      <c r="AF23" s="1082">
        <f>AD23+AE23</f>
        <v/>
      </c>
      <c r="AG23" s="1098">
        <f>SUM(AA23:AC23)</f>
        <v/>
      </c>
      <c r="AH23" s="108" t="n"/>
      <c r="AI23" s="149" t="n"/>
      <c r="AJ23" s="150" t="n"/>
      <c r="AK23" s="190" t="inlineStr">
        <is>
          <t>Aukera Senior Lending</t>
        </is>
      </c>
      <c r="AL23" s="191" t="n"/>
      <c r="AM23" s="150" t="n"/>
      <c r="AN23" s="1088">
        <f>SUM(AN24:AN25)</f>
        <v/>
      </c>
      <c r="AO23" s="1089">
        <f>SUM(AO24:AO25)</f>
        <v/>
      </c>
      <c r="AP23" s="1090">
        <f>SUM(AP24:AP25)</f>
        <v/>
      </c>
      <c r="AQ23" s="1091">
        <f>SUM(AQ24:AQ25)</f>
        <v/>
      </c>
      <c r="AR23" s="1096" t="n"/>
      <c r="AS23" s="150" t="n"/>
      <c r="AT23" s="150" t="n"/>
      <c r="AU23" s="150" t="n"/>
      <c r="AV23" s="150" t="n"/>
      <c r="AW23" s="142" t="n"/>
      <c r="AX23" s="142" t="n"/>
      <c r="AY23" s="142" t="n"/>
      <c r="AZ23" s="142" t="n"/>
      <c r="BA23" s="142" t="n"/>
      <c r="BB23" s="142" t="n"/>
      <c r="BC23" s="142" t="n"/>
      <c r="BD23" s="142" t="n"/>
      <c r="BE23" s="142" t="n"/>
      <c r="BF23" s="142" t="n"/>
      <c r="BG23" s="142" t="n"/>
      <c r="BH23" s="142" t="n"/>
      <c r="BI23" s="142" t="n"/>
      <c r="BJ23" s="144" t="n"/>
      <c r="BK23" s="144" t="n"/>
      <c r="BL23" s="144" t="n"/>
      <c r="BM23" s="144" t="n"/>
      <c r="BN23" s="144" t="n"/>
      <c r="BO23" s="144" t="n"/>
      <c r="BP23" s="144" t="n"/>
    </row>
    <row r="24" ht="24" customHeight="1" s="799">
      <c r="A24" s="136" t="inlineStr">
        <is>
          <t>Mandarin Pre-Opening Marketing and other Costs / Consumables</t>
        </is>
      </c>
      <c r="B24" s="106" t="n"/>
      <c r="C24" s="106" t="n"/>
      <c r="D24" s="106" t="n"/>
      <c r="E24" s="106" t="n"/>
      <c r="F24" s="106" t="n"/>
      <c r="G24" s="106" t="n"/>
      <c r="H24" s="1077" t="inlineStr">
        <is>
          <t xml:space="preserve"> </t>
        </is>
      </c>
      <c r="I24" s="1077" t="n"/>
      <c r="J24" s="1077" t="n"/>
      <c r="K24" s="1077" t="n"/>
      <c r="L24" s="1077" t="n"/>
      <c r="M24" s="1077" t="n">
        <v>-180000</v>
      </c>
      <c r="N24" s="1077" t="n"/>
      <c r="O24" s="1077" t="n">
        <v>-160000</v>
      </c>
      <c r="P24" s="1077" t="n">
        <v>-150000</v>
      </c>
      <c r="Q24" s="1077" t="n">
        <v>-415000</v>
      </c>
      <c r="R24" s="1077" t="n">
        <v>-370000</v>
      </c>
      <c r="S24" s="1077" t="n">
        <v>-195000</v>
      </c>
      <c r="T24" s="1077" t="n">
        <v>-433000</v>
      </c>
      <c r="U24" s="1077" t="n">
        <v>-110000</v>
      </c>
      <c r="V24" s="1077" t="n">
        <v>-400000</v>
      </c>
      <c r="W24" s="1077" t="n">
        <v>-175000</v>
      </c>
      <c r="X24" s="1077" t="n"/>
      <c r="Y24" s="1077" t="n"/>
      <c r="Z24" s="1077" t="n"/>
      <c r="AA24" s="1078" t="n">
        <v>-225000</v>
      </c>
      <c r="AB24" s="1078" t="n"/>
      <c r="AC24" s="1097" t="n"/>
      <c r="AD24" s="1080">
        <f>SUM(N24:W24)</f>
        <v/>
      </c>
      <c r="AE24" s="1080">
        <f>SUM(X24:AC24)</f>
        <v/>
      </c>
      <c r="AF24" s="1082">
        <f>AD24+AE24</f>
        <v/>
      </c>
      <c r="AG24" s="1098">
        <f>SUM(AA24:AC24)</f>
        <v/>
      </c>
      <c r="AH24" s="108" t="n"/>
      <c r="AI24" s="149" t="n"/>
      <c r="AJ24" s="150" t="n"/>
      <c r="AK24" s="182" t="inlineStr">
        <is>
          <t>Interest</t>
        </is>
      </c>
      <c r="AL24" s="183" t="n"/>
      <c r="AM24" s="192" t="inlineStr">
        <is>
          <t>Should be monthly</t>
        </is>
      </c>
      <c r="AN24" s="1099">
        <f>AA31</f>
        <v/>
      </c>
      <c r="AO24" s="1100" t="n"/>
      <c r="AP24" s="1100">
        <f>AC26</f>
        <v/>
      </c>
      <c r="AQ24" s="1102">
        <f>SUM(AN24:AP24)</f>
        <v/>
      </c>
      <c r="AR24" s="1096" t="n"/>
      <c r="AS24" s="150" t="n"/>
      <c r="AT24" s="150" t="n"/>
      <c r="AU24" s="150" t="n"/>
      <c r="AV24" s="150" t="n"/>
      <c r="AW24" s="142" t="n"/>
      <c r="AX24" s="142" t="n"/>
      <c r="AY24" s="142" t="n"/>
      <c r="AZ24" s="142" t="n"/>
      <c r="BA24" s="142" t="n"/>
      <c r="BB24" s="142" t="n"/>
      <c r="BC24" s="142" t="n"/>
      <c r="BD24" s="142" t="n"/>
      <c r="BE24" s="142" t="n"/>
      <c r="BF24" s="142" t="n"/>
      <c r="BG24" s="142" t="n"/>
      <c r="BH24" s="142" t="n"/>
      <c r="BI24" s="142" t="n"/>
      <c r="BJ24" s="144" t="n"/>
      <c r="BK24" s="144" t="n"/>
      <c r="BL24" s="144" t="n"/>
      <c r="BM24" s="144" t="n"/>
      <c r="BN24" s="144" t="n"/>
      <c r="BO24" s="144" t="n"/>
      <c r="BP24" s="144" t="n"/>
    </row>
    <row r="25" ht="24" customHeight="1" s="799" thickBot="1">
      <c r="A25" s="94" t="inlineStr">
        <is>
          <t>Working Capital liquidity Hotel</t>
        </is>
      </c>
      <c r="B25" s="106" t="n"/>
      <c r="C25" s="106" t="n"/>
      <c r="D25" s="106" t="n"/>
      <c r="E25" s="106" t="n"/>
      <c r="F25" s="106" t="n"/>
      <c r="G25" s="106" t="n"/>
      <c r="H25" s="1077" t="n"/>
      <c r="I25" s="1077" t="n"/>
      <c r="J25" s="1077" t="n"/>
      <c r="K25" s="1077" t="n"/>
      <c r="L25" s="1077" t="n"/>
      <c r="M25" s="1077" t="n"/>
      <c r="N25" s="1077" t="n"/>
      <c r="O25" s="1077" t="n"/>
      <c r="P25" s="1077" t="n"/>
      <c r="Q25" s="1077" t="n"/>
      <c r="R25" s="1077" t="n"/>
      <c r="S25" s="1077" t="n"/>
      <c r="T25" s="1077" t="n"/>
      <c r="U25" s="1077" t="n"/>
      <c r="V25" s="1077" t="n"/>
      <c r="W25" s="1077" t="n"/>
      <c r="X25" s="1077" t="n"/>
      <c r="Y25" s="1077" t="n"/>
      <c r="Z25" s="1077" t="n"/>
      <c r="AA25" s="1078" t="n">
        <v>-600000</v>
      </c>
      <c r="AB25" s="1078" t="n"/>
      <c r="AC25" s="1097" t="n"/>
      <c r="AD25" s="1080">
        <f>SUM(N25:W25)</f>
        <v/>
      </c>
      <c r="AE25" s="1080">
        <f>SUM(X25:AC25)</f>
        <v/>
      </c>
      <c r="AF25" s="1082">
        <f>AD25+AE25</f>
        <v/>
      </c>
      <c r="AG25" s="1098">
        <f>SUM(AA25:AC25)</f>
        <v/>
      </c>
      <c r="AH25" s="108" t="n"/>
      <c r="AI25" s="149" t="n"/>
      <c r="AJ25" s="150" t="n"/>
      <c r="AK25" s="188" t="inlineStr">
        <is>
          <t>Principal repayment</t>
        </is>
      </c>
      <c r="AL25" s="189" t="n"/>
      <c r="AM25" s="150" t="n"/>
      <c r="AN25" s="1104">
        <f>AA33</f>
        <v/>
      </c>
      <c r="AO25" s="1105" t="n"/>
      <c r="AP25" s="1105" t="n"/>
      <c r="AQ25" s="1107">
        <f>SUM(AN25:AP25)</f>
        <v/>
      </c>
      <c r="AR25" s="1096" t="n"/>
      <c r="AS25" s="150" t="n"/>
      <c r="AT25" s="150" t="n"/>
      <c r="AU25" s="150" t="n"/>
      <c r="AV25" s="150" t="n"/>
      <c r="AW25" s="142" t="n"/>
      <c r="AX25" s="142" t="n"/>
      <c r="AY25" s="142" t="n"/>
      <c r="AZ25" s="142" t="n"/>
      <c r="BA25" s="142" t="n"/>
      <c r="BB25" s="142" t="n"/>
      <c r="BC25" s="142" t="n"/>
      <c r="BD25" s="142" t="n"/>
      <c r="BE25" s="142" t="n"/>
      <c r="BF25" s="142" t="n"/>
      <c r="BG25" s="142" t="n"/>
      <c r="BH25" s="142" t="n"/>
      <c r="BI25" s="142" t="n"/>
      <c r="BJ25" s="144" t="n"/>
      <c r="BK25" s="144" t="n"/>
      <c r="BL25" s="144" t="n"/>
      <c r="BM25" s="144" t="n"/>
      <c r="BN25" s="144" t="n"/>
      <c r="BO25" s="144" t="n"/>
      <c r="BP25" s="144" t="n"/>
    </row>
    <row r="26" ht="24" customHeight="1" s="799" thickBot="1">
      <c r="A26" s="137" t="inlineStr">
        <is>
          <t>Interest Reserve have to be finance from Equity or Sales only</t>
        </is>
      </c>
      <c r="B26" s="106" t="n"/>
      <c r="C26" s="106" t="n"/>
      <c r="D26" s="106" t="n"/>
      <c r="E26" s="1077" t="n">
        <v>-3375000</v>
      </c>
      <c r="F26" s="106" t="n"/>
      <c r="G26" s="106" t="n"/>
      <c r="H26" s="111" t="n"/>
      <c r="I26" s="111" t="n"/>
      <c r="J26" s="111" t="n"/>
      <c r="K26" s="1111" t="n">
        <v>-4040000</v>
      </c>
      <c r="L26" s="1111" t="n"/>
      <c r="M26" s="1111" t="n"/>
      <c r="N26" s="1111" t="n"/>
      <c r="O26" s="1111" t="n"/>
      <c r="P26" s="1111" t="n"/>
      <c r="Q26" s="1111" t="n"/>
      <c r="R26" s="1112" t="n"/>
      <c r="S26" s="1112" t="n"/>
      <c r="T26" s="1112" t="n">
        <v>-2035640</v>
      </c>
      <c r="U26" s="1112" t="n"/>
      <c r="V26" s="1112" t="n"/>
      <c r="W26" s="1112" t="n">
        <v>-2013500</v>
      </c>
      <c r="X26" s="1077" t="n"/>
      <c r="Y26" s="1077" t="n"/>
      <c r="Z26" s="1077" t="n">
        <v>-1775963.81</v>
      </c>
      <c r="AA26" s="1078" t="n"/>
      <c r="AB26" s="1078" t="n"/>
      <c r="AC26" s="1097" t="n">
        <v>-1600000</v>
      </c>
      <c r="AD26" s="1080">
        <f>SUM(N26:W26)</f>
        <v/>
      </c>
      <c r="AE26" s="1080">
        <f>SUM(X26:AC26)</f>
        <v/>
      </c>
      <c r="AF26" s="1082">
        <f>AD26+AE26</f>
        <v/>
      </c>
      <c r="AG26" s="1098">
        <f>SUM(AA26:AC26)</f>
        <v/>
      </c>
      <c r="AH26" s="108" t="n"/>
      <c r="AI26" s="149" t="n"/>
      <c r="AJ26" s="150" t="n"/>
      <c r="AK26" s="150" t="n"/>
      <c r="AL26" s="150" t="n"/>
      <c r="AM26" s="150" t="n"/>
      <c r="AN26" s="1096" t="n"/>
      <c r="AO26" s="1096" t="n"/>
      <c r="AP26" s="1096" t="n"/>
      <c r="AQ26" s="1096" t="n"/>
      <c r="AR26" s="1096" t="n"/>
      <c r="AS26" s="150" t="n"/>
      <c r="AT26" s="150" t="n"/>
      <c r="AU26" s="150" t="n"/>
      <c r="AV26" s="150" t="n"/>
      <c r="AW26" s="142" t="n"/>
      <c r="AX26" s="142" t="n"/>
      <c r="AY26" s="142" t="n"/>
      <c r="AZ26" s="142" t="n"/>
      <c r="BA26" s="142" t="n"/>
      <c r="BB26" s="142" t="n"/>
      <c r="BC26" s="142" t="n"/>
      <c r="BD26" s="142" t="n"/>
      <c r="BE26" s="142" t="n"/>
      <c r="BF26" s="142" t="n"/>
      <c r="BG26" s="142" t="n"/>
      <c r="BH26" s="142" t="n"/>
      <c r="BI26" s="142" t="n"/>
      <c r="BJ26" s="144" t="n"/>
      <c r="BK26" s="144" t="n"/>
      <c r="BL26" s="144" t="n"/>
      <c r="BM26" s="144" t="n"/>
      <c r="BN26" s="144" t="n"/>
      <c r="BO26" s="144" t="n"/>
      <c r="BP26" s="144" t="n"/>
    </row>
    <row r="27" ht="24" customHeight="1" s="799" thickBot="1">
      <c r="A27" s="94" t="inlineStr">
        <is>
          <t>VAT and Taxes</t>
        </is>
      </c>
      <c r="B27" s="106" t="n"/>
      <c r="C27" s="106" t="n"/>
      <c r="D27" s="106" t="n"/>
      <c r="E27" s="106" t="n"/>
      <c r="F27" s="1077" t="n">
        <v>-1132500</v>
      </c>
      <c r="G27" s="1077">
        <f>1132500+0.5*0.2*(H15+((H9+H11+H13)*0.2))</f>
        <v/>
      </c>
      <c r="H27" s="1077">
        <f>0.5*0.2*(H15+H17+((H9+H10+H11+H13+H12)*0.2))</f>
        <v/>
      </c>
      <c r="I27" s="1077">
        <f>0.5*0.2*(I15+I17+((I9+I10+I11+I13+I12)*0.2))</f>
        <v/>
      </c>
      <c r="J27" s="1077">
        <f>0.5*0.2*(J15+J17+((J9+J10+J11+J13+J12)*0.2))</f>
        <v/>
      </c>
      <c r="K27" s="1077">
        <f>0.5*0.2*(K15+K17+((K9+K10+K11+K13+K12)*0.2))</f>
        <v/>
      </c>
      <c r="L27" s="1077">
        <f>0.5*0.2*(L15+L17+((L9+L10+L11+L13+L12)*0.2))</f>
        <v/>
      </c>
      <c r="M27" s="1077">
        <f>0.5*0.2*(M15+M17+((M9+M10+M11+M13+M12)*0.2))</f>
        <v/>
      </c>
      <c r="N27" s="1077">
        <f>0.5*0.2*(N15+N17+((N9+N10+N11+N13+N12)*0.2))</f>
        <v/>
      </c>
      <c r="O27" s="1077">
        <f>0.5*0.2*(O15+O17+((O9+O10+O11+O13+O12)*0.2))</f>
        <v/>
      </c>
      <c r="P27" s="1077">
        <f>0.5*0.2*(P15+P17+((P9+P10+P11+P13+P12)*0.2))</f>
        <v/>
      </c>
      <c r="Q27" s="1077">
        <f>0.5*0.2*(Q15+Q17+((Q9+Q10+Q11+Q13+Q12)*0.2))</f>
        <v/>
      </c>
      <c r="R27" s="1077">
        <f>0.5*0.2*(R15+R17+((R9+R10+R11+R13+R12)*0.2))</f>
        <v/>
      </c>
      <c r="S27" s="1077">
        <f>0.5*0.2*(S15+S17+((S9+S10+S11+S13+S12)*0.2))</f>
        <v/>
      </c>
      <c r="T27" s="1077">
        <f>0.5*0.2*(T15+T17+((T9+T10+T11+T13+T12)*0.2))</f>
        <v/>
      </c>
      <c r="U27" s="1077">
        <f>0.5*0.2*(U15+U17+((U9+U10+U11+U13+U12)*0.2))</f>
        <v/>
      </c>
      <c r="V27" s="1077">
        <f>0.5*0.2*(V15+V17+((V9+V10+V11+V13+V12)*0.2))</f>
        <v/>
      </c>
      <c r="W27" s="1077">
        <f>0.5*0.2*(W15+W17+((W9+W10+W11+W13+W12)*0.2))</f>
        <v/>
      </c>
      <c r="X27" s="1077">
        <f>0.5*0.2*(X15+X17+((X9+X10+X11+X13+X12)*0.2))</f>
        <v/>
      </c>
      <c r="Y27" s="1077">
        <f>-4430118-1339684</f>
        <v/>
      </c>
      <c r="Z27" s="1077" t="n"/>
      <c r="AA27" s="1077" t="n">
        <v>-219000</v>
      </c>
      <c r="AB27" s="1077" t="n"/>
      <c r="AC27" s="1113" t="n"/>
      <c r="AD27" s="1080">
        <f>SUM(N27:W27)</f>
        <v/>
      </c>
      <c r="AE27" s="1080">
        <f>SUM(X27:AC27)</f>
        <v/>
      </c>
      <c r="AF27" s="1082">
        <f>AD27+AE27</f>
        <v/>
      </c>
      <c r="AG27" s="1098">
        <f>SUM(AA27:AC27)</f>
        <v/>
      </c>
      <c r="AI27" s="149" t="n"/>
      <c r="AJ27" s="150" t="n"/>
      <c r="AK27" s="186" t="inlineStr">
        <is>
          <t>OUTGOINGS TOTAL</t>
        </is>
      </c>
      <c r="AL27" s="150" t="n"/>
      <c r="AM27" s="150" t="n"/>
      <c r="AN27" s="1114">
        <f>AN23+AN19+AN14+AN7</f>
        <v/>
      </c>
      <c r="AO27" s="1115">
        <f>AO23+AO19+AO14+AO7</f>
        <v/>
      </c>
      <c r="AP27" s="1116">
        <f>AP23+AP19+AP14+AP7</f>
        <v/>
      </c>
      <c r="AQ27" s="1117">
        <f>AQ23+AQ19+AQ14+AQ7</f>
        <v/>
      </c>
      <c r="AR27" s="1096">
        <f>AQ27-AG28</f>
        <v/>
      </c>
      <c r="AS27" s="150" t="n"/>
      <c r="AT27" s="150" t="n"/>
      <c r="AU27" s="150" t="n"/>
      <c r="AV27" s="150" t="n"/>
      <c r="AW27" s="142" t="n"/>
      <c r="AX27" s="142" t="n"/>
      <c r="AY27" s="142" t="n"/>
      <c r="AZ27" s="142" t="n"/>
      <c r="BA27" s="142" t="n"/>
      <c r="BB27" s="142" t="n"/>
      <c r="BC27" s="142" t="n"/>
      <c r="BD27" s="142" t="n"/>
      <c r="BE27" s="142" t="n"/>
      <c r="BF27" s="142" t="n"/>
      <c r="BG27" s="142" t="n"/>
      <c r="BH27" s="142" t="n"/>
      <c r="BI27" s="142" t="n"/>
      <c r="BJ27" s="144" t="n"/>
      <c r="BK27" s="144" t="n"/>
      <c r="BL27" s="144" t="n"/>
      <c r="BM27" s="144" t="n"/>
      <c r="BN27" s="144" t="n"/>
      <c r="BO27" s="144" t="n"/>
      <c r="BP27" s="144" t="n"/>
    </row>
    <row r="28" ht="24" customFormat="1" customHeight="1" s="88" thickBot="1">
      <c r="A28" s="112" t="inlineStr">
        <is>
          <t>Total Payments</t>
        </is>
      </c>
      <c r="B28" s="1118">
        <f>SUM(B9:B27)</f>
        <v/>
      </c>
      <c r="C28" s="1118">
        <f>SUM(C9:C27)</f>
        <v/>
      </c>
      <c r="D28" s="1118">
        <f>SUM(D9:D27)</f>
        <v/>
      </c>
      <c r="E28" s="1118">
        <f>SUM(E9:E27)</f>
        <v/>
      </c>
      <c r="F28" s="1118">
        <f>SUM(F9:F27)</f>
        <v/>
      </c>
      <c r="G28" s="1118">
        <f>SUM(G9:G27)</f>
        <v/>
      </c>
      <c r="H28" s="1118">
        <f>SUM(H9:H27)</f>
        <v/>
      </c>
      <c r="I28" s="1118">
        <f>SUM(I9:I27)</f>
        <v/>
      </c>
      <c r="J28" s="1118">
        <f>SUM(J9:J27)</f>
        <v/>
      </c>
      <c r="K28" s="1118">
        <f>SUM(K9:K27)</f>
        <v/>
      </c>
      <c r="L28" s="1118">
        <f>SUM(L9:L27)</f>
        <v/>
      </c>
      <c r="M28" s="1118">
        <f>SUM(M9:M27)</f>
        <v/>
      </c>
      <c r="N28" s="1118">
        <f>SUM(N9:N27)</f>
        <v/>
      </c>
      <c r="O28" s="1118">
        <f>SUM(O9:O27)</f>
        <v/>
      </c>
      <c r="P28" s="1118">
        <f>SUM(P9:P27)</f>
        <v/>
      </c>
      <c r="Q28" s="1118">
        <f>SUM(Q9:Q27)</f>
        <v/>
      </c>
      <c r="R28" s="1118">
        <f>SUM(R9:R27)</f>
        <v/>
      </c>
      <c r="S28" s="1118">
        <f>SUM(S9:S27)</f>
        <v/>
      </c>
      <c r="T28" s="1119">
        <f>SUM(T9:T27)</f>
        <v/>
      </c>
      <c r="U28" s="1119">
        <f>SUM(U9:U27)</f>
        <v/>
      </c>
      <c r="V28" s="1119">
        <f>SUM(V9:V27)</f>
        <v/>
      </c>
      <c r="W28" s="1119">
        <f>SUM(W9:W27)</f>
        <v/>
      </c>
      <c r="X28" s="1119">
        <f>SUM(X9:X27)</f>
        <v/>
      </c>
      <c r="Y28" s="1119">
        <f>SUM(Y9:Y27)</f>
        <v/>
      </c>
      <c r="Z28" s="1119">
        <f>SUM(Z9:Z27)</f>
        <v/>
      </c>
      <c r="AA28" s="1119">
        <f>SUM(AA9:AA27)</f>
        <v/>
      </c>
      <c r="AB28" s="1119">
        <f>SUM(AB9:AB27)</f>
        <v/>
      </c>
      <c r="AC28" s="1120">
        <f>SUM(AC9:AC27)</f>
        <v/>
      </c>
      <c r="AD28" s="1121">
        <f>SUM(AD9:AD27)</f>
        <v/>
      </c>
      <c r="AE28" s="1122">
        <f>SUM(AE9:AE27)</f>
        <v/>
      </c>
      <c r="AF28" s="1123">
        <f>SUM(AF9:AF27)</f>
        <v/>
      </c>
      <c r="AG28" s="1124">
        <f>SUM(AG9:AG27)</f>
        <v/>
      </c>
      <c r="AH28" s="93" t="n"/>
      <c r="AI28" s="149" t="n"/>
      <c r="AJ28" s="150" t="n"/>
      <c r="AK28" s="150" t="n"/>
      <c r="AL28" s="150" t="n"/>
      <c r="AM28" s="150" t="n"/>
      <c r="AN28" s="1096" t="n"/>
      <c r="AO28" s="1096" t="n"/>
      <c r="AP28" s="1096" t="n"/>
      <c r="AQ28" s="1096" t="n"/>
      <c r="AR28" s="1096" t="n"/>
      <c r="AS28" s="150" t="n"/>
      <c r="AT28" s="150" t="n"/>
      <c r="AU28" s="150" t="n"/>
      <c r="AV28" s="150" t="n"/>
      <c r="AW28" s="142" t="n"/>
      <c r="AX28" s="142" t="n"/>
      <c r="AY28" s="142" t="n"/>
      <c r="AZ28" s="142" t="n"/>
      <c r="BA28" s="142" t="n"/>
      <c r="BB28" s="142" t="n"/>
      <c r="BC28" s="142" t="n"/>
      <c r="BD28" s="142" t="n"/>
      <c r="BE28" s="142" t="n"/>
      <c r="BF28" s="142" t="n"/>
      <c r="BG28" s="142" t="n"/>
      <c r="BH28" s="142" t="n"/>
      <c r="BI28" s="142" t="n"/>
      <c r="BJ28" s="143" t="n"/>
      <c r="BK28" s="143" t="n"/>
      <c r="BL28" s="143" t="n"/>
      <c r="BM28" s="143" t="n"/>
      <c r="BN28" s="143" t="n"/>
      <c r="BO28" s="143" t="n"/>
      <c r="BP28" s="143" t="n"/>
      <c r="BQ28" s="93" t="n"/>
      <c r="BR28" s="93" t="n"/>
      <c r="BS28" s="93" t="n"/>
      <c r="BT28" s="93" t="n"/>
      <c r="BU28" s="93" t="n"/>
      <c r="BV28" s="93" t="n"/>
      <c r="BW28" s="93" t="n"/>
      <c r="BX28" s="93" t="n"/>
      <c r="BY28" s="93" t="n"/>
      <c r="BZ28" s="93" t="n"/>
      <c r="CA28" s="93" t="n"/>
      <c r="CB28" s="93" t="n"/>
      <c r="CC28" s="93" t="n"/>
      <c r="CD28" s="93" t="n"/>
      <c r="CE28" s="93" t="n"/>
      <c r="CF28" s="93" t="n"/>
      <c r="CG28" s="93" t="n"/>
      <c r="CH28" s="93" t="n"/>
      <c r="CI28" s="93" t="n"/>
      <c r="CJ28" s="93" t="n"/>
      <c r="CK28" s="93" t="n"/>
      <c r="CL28" s="93" t="n"/>
      <c r="CM28" s="93" t="n"/>
      <c r="CN28" s="93" t="n"/>
      <c r="CO28" s="93" t="n"/>
      <c r="CP28" s="93" t="n"/>
      <c r="CQ28" s="93" t="n"/>
      <c r="CR28" s="93" t="n"/>
      <c r="CS28" s="93" t="n"/>
      <c r="CT28" s="93" t="n"/>
      <c r="CU28" s="93" t="n"/>
      <c r="CV28" s="93" t="n"/>
      <c r="CW28" s="93" t="n"/>
      <c r="CX28" s="93" t="n"/>
      <c r="CY28" s="93" t="n"/>
      <c r="CZ28" s="93" t="n"/>
      <c r="DA28" s="93" t="n"/>
      <c r="DB28" s="93" t="n"/>
      <c r="DC28" s="93" t="n"/>
      <c r="DD28" s="93" t="n"/>
      <c r="DE28" s="93" t="n"/>
      <c r="DF28" s="93" t="n"/>
      <c r="DG28" s="93" t="n"/>
      <c r="DH28" s="93" t="n"/>
      <c r="DI28" s="93" t="n"/>
      <c r="DJ28" s="93" t="n"/>
      <c r="DK28" s="93" t="n"/>
      <c r="DL28" s="93" t="n"/>
      <c r="DM28" s="93" t="n"/>
      <c r="DN28" s="93" t="n"/>
      <c r="DO28" s="93" t="n"/>
      <c r="DP28" s="93" t="n"/>
      <c r="DQ28" s="93" t="n"/>
      <c r="DR28" s="93" t="n"/>
      <c r="DS28" s="93" t="n"/>
      <c r="DT28" s="93" t="n"/>
      <c r="DU28" s="93" t="n"/>
      <c r="DV28" s="93" t="n"/>
      <c r="DW28" s="93" t="n"/>
      <c r="DX28" s="93" t="n"/>
      <c r="DY28" s="93" t="n"/>
      <c r="DZ28" s="93" t="n"/>
      <c r="EA28" s="93" t="n"/>
      <c r="EB28" s="93" t="n"/>
      <c r="EC28" s="93" t="n"/>
      <c r="ED28" s="93" t="n"/>
      <c r="EE28" s="93" t="n"/>
      <c r="EF28" s="93" t="n"/>
      <c r="EG28" s="93" t="n"/>
      <c r="EH28" s="93" t="n"/>
      <c r="EI28" s="93" t="n"/>
      <c r="EJ28" s="93" t="n"/>
      <c r="EK28" s="93" t="n"/>
      <c r="EL28" s="93" t="n"/>
      <c r="EM28" s="93" t="n"/>
      <c r="EN28" s="93" t="n"/>
      <c r="EO28" s="93" t="n"/>
      <c r="EP28" s="93" t="n"/>
      <c r="EQ28" s="93" t="n"/>
      <c r="ER28" s="93" t="n"/>
      <c r="ES28" s="93" t="n"/>
      <c r="ET28" s="93" t="n"/>
      <c r="EU28" s="93" t="n"/>
      <c r="EV28" s="93" t="n"/>
      <c r="EW28" s="93" t="n"/>
      <c r="EX28" s="93" t="n"/>
      <c r="EY28" s="93" t="n"/>
      <c r="EZ28" s="93" t="n"/>
      <c r="FA28" s="93" t="n"/>
      <c r="FB28" s="93" t="n"/>
      <c r="FC28" s="93" t="n"/>
      <c r="FD28" s="93" t="n"/>
      <c r="FE28" s="93" t="n"/>
      <c r="FF28" s="93" t="n"/>
      <c r="FG28" s="93" t="n"/>
      <c r="FH28" s="93" t="n"/>
      <c r="FI28" s="93" t="n"/>
      <c r="FJ28" s="93" t="n"/>
      <c r="FK28" s="93" t="n"/>
      <c r="FL28" s="93" t="n"/>
      <c r="FM28" s="93" t="n"/>
      <c r="FN28" s="93" t="n"/>
      <c r="FO28" s="93" t="n"/>
      <c r="FP28" s="93" t="n"/>
      <c r="FQ28" s="93" t="n"/>
      <c r="FR28" s="93" t="n"/>
      <c r="FS28" s="93" t="n"/>
      <c r="FT28" s="93" t="n"/>
      <c r="FU28" s="93" t="n"/>
      <c r="FV28" s="93" t="n"/>
      <c r="FW28" s="93" t="n"/>
      <c r="FX28" s="93" t="n"/>
      <c r="FY28" s="93" t="n"/>
      <c r="FZ28" s="93" t="n"/>
      <c r="GA28" s="93" t="n"/>
      <c r="GB28" s="93" t="n"/>
      <c r="GC28" s="93" t="n"/>
      <c r="GD28" s="93" t="n"/>
      <c r="GE28" s="93" t="n"/>
      <c r="GF28" s="93" t="n"/>
      <c r="GG28" s="93" t="n"/>
      <c r="GH28" s="93" t="n"/>
      <c r="GI28" s="93" t="n"/>
      <c r="GJ28" s="93" t="n"/>
      <c r="GK28" s="93" t="n"/>
      <c r="GL28" s="93" t="n"/>
      <c r="GM28" s="93" t="n"/>
      <c r="GN28" s="93" t="n"/>
      <c r="GO28" s="93" t="n"/>
      <c r="GP28" s="93" t="n"/>
      <c r="GQ28" s="93" t="n"/>
      <c r="GR28" s="93" t="n"/>
      <c r="GS28" s="93" t="n"/>
      <c r="GT28" s="93" t="n"/>
      <c r="GU28" s="93" t="n"/>
      <c r="GV28" s="93" t="n"/>
      <c r="GW28" s="93" t="n"/>
      <c r="GX28" s="93" t="n"/>
      <c r="GY28" s="93" t="n"/>
      <c r="GZ28" s="93" t="n"/>
      <c r="HA28" s="93" t="n"/>
      <c r="HB28" s="93" t="n"/>
      <c r="HC28" s="93" t="n"/>
      <c r="HD28" s="93" t="n"/>
      <c r="HE28" s="93" t="n"/>
      <c r="HF28" s="93" t="n"/>
      <c r="HG28" s="93" t="n"/>
      <c r="HH28" s="93" t="n"/>
      <c r="HI28" s="93" t="n"/>
      <c r="HJ28" s="93" t="n"/>
      <c r="HK28" s="93" t="n"/>
      <c r="HL28" s="93" t="n"/>
      <c r="HM28" s="93" t="n"/>
      <c r="HN28" s="93" t="n"/>
      <c r="HO28" s="93" t="n"/>
      <c r="HP28" s="93" t="n"/>
      <c r="HQ28" s="93" t="n"/>
      <c r="HR28" s="93" t="n"/>
      <c r="HS28" s="93" t="n"/>
      <c r="HT28" s="93" t="n"/>
      <c r="HU28" s="93" t="n"/>
      <c r="HV28" s="93" t="n"/>
      <c r="HW28" s="93" t="n"/>
      <c r="HX28" s="93" t="n"/>
      <c r="HY28" s="93" t="n"/>
      <c r="HZ28" s="93" t="n"/>
      <c r="IA28" s="93" t="n"/>
      <c r="IB28" s="93" t="n"/>
      <c r="IC28" s="93" t="n"/>
      <c r="ID28" s="93" t="n"/>
      <c r="IE28" s="93" t="n"/>
      <c r="IF28" s="93" t="n"/>
      <c r="IG28" s="93" t="n"/>
      <c r="IH28" s="93" t="n"/>
      <c r="II28" s="93" t="n"/>
      <c r="IJ28" s="93" t="n"/>
      <c r="IK28" s="93" t="n"/>
      <c r="IL28" s="93" t="n"/>
      <c r="IM28" s="93" t="n"/>
      <c r="IN28" s="93" t="n"/>
      <c r="IO28" s="93" t="n"/>
      <c r="IP28" s="93" t="n"/>
      <c r="IQ28" s="93" t="n"/>
      <c r="IR28" s="93" t="n"/>
      <c r="IS28" s="93" t="n"/>
      <c r="IT28" s="93" t="n"/>
      <c r="IU28" s="93" t="n"/>
      <c r="IV28" s="93" t="n"/>
      <c r="IW28" s="93" t="n"/>
      <c r="IX28" s="93" t="n"/>
      <c r="IY28" s="93" t="n"/>
      <c r="IZ28" s="93" t="n"/>
      <c r="JA28" s="93" t="n"/>
      <c r="JB28" s="93" t="n"/>
      <c r="JC28" s="93" t="n"/>
      <c r="JD28" s="93" t="n"/>
      <c r="JE28" s="93" t="n"/>
      <c r="JF28" s="93" t="n"/>
      <c r="JG28" s="93" t="n"/>
      <c r="JH28" s="93" t="n"/>
      <c r="JI28" s="93" t="n"/>
      <c r="JJ28" s="93" t="n"/>
      <c r="JK28" s="93" t="n"/>
      <c r="JL28" s="93" t="n"/>
      <c r="JM28" s="93" t="n"/>
      <c r="JN28" s="93" t="n"/>
      <c r="JO28" s="93" t="n"/>
      <c r="JP28" s="93" t="n"/>
      <c r="JQ28" s="93" t="n"/>
      <c r="JR28" s="93" t="n"/>
      <c r="JS28" s="93" t="n"/>
      <c r="JT28" s="93" t="n"/>
      <c r="JU28" s="93" t="n"/>
      <c r="JV28" s="93" t="n"/>
      <c r="JW28" s="93" t="n"/>
      <c r="JX28" s="93" t="n"/>
      <c r="JY28" s="93" t="n"/>
      <c r="JZ28" s="93" t="n"/>
      <c r="KA28" s="93" t="n"/>
      <c r="KB28" s="93" t="n"/>
      <c r="KC28" s="93" t="n"/>
      <c r="KD28" s="93" t="n"/>
      <c r="KE28" s="93" t="n"/>
      <c r="KF28" s="93" t="n"/>
      <c r="KG28" s="93" t="n"/>
      <c r="KH28" s="93" t="n"/>
      <c r="KI28" s="93" t="n"/>
      <c r="KJ28" s="93" t="n"/>
      <c r="KK28" s="93" t="n"/>
      <c r="KL28" s="93" t="n"/>
      <c r="KM28" s="93" t="n"/>
      <c r="KN28" s="93" t="n"/>
      <c r="KO28" s="93" t="n"/>
      <c r="KP28" s="93" t="n"/>
      <c r="KQ28" s="93" t="n"/>
      <c r="KR28" s="93" t="n"/>
      <c r="KS28" s="93" t="n"/>
      <c r="KT28" s="93" t="n"/>
      <c r="KU28" s="93" t="n"/>
      <c r="KV28" s="93" t="n"/>
      <c r="KW28" s="93" t="n"/>
      <c r="KX28" s="93" t="n"/>
      <c r="KY28" s="93" t="n"/>
      <c r="KZ28" s="93" t="n"/>
      <c r="LA28" s="93" t="n"/>
      <c r="LB28" s="93" t="n"/>
      <c r="LC28" s="93" t="n"/>
      <c r="LD28" s="93" t="n"/>
      <c r="LE28" s="93" t="n"/>
      <c r="LF28" s="93" t="n"/>
      <c r="LG28" s="93" t="n"/>
      <c r="LH28" s="93" t="n"/>
      <c r="LI28" s="93" t="n"/>
      <c r="LJ28" s="93" t="n"/>
      <c r="LK28" s="93" t="n"/>
      <c r="LL28" s="93" t="n"/>
      <c r="LM28" s="93" t="n"/>
      <c r="LN28" s="93" t="n"/>
      <c r="LO28" s="93" t="n"/>
      <c r="LP28" s="93" t="n"/>
      <c r="LQ28" s="93" t="n"/>
      <c r="LR28" s="93" t="n"/>
      <c r="LS28" s="93" t="n"/>
      <c r="LT28" s="93" t="n"/>
      <c r="LU28" s="93" t="n"/>
      <c r="LV28" s="93" t="n"/>
      <c r="LW28" s="93" t="n"/>
      <c r="LX28" s="93" t="n"/>
      <c r="LY28" s="93" t="n"/>
      <c r="LZ28" s="93" t="n"/>
      <c r="MA28" s="93" t="n"/>
      <c r="MB28" s="93" t="n"/>
      <c r="MC28" s="93" t="n"/>
      <c r="MD28" s="93" t="n"/>
      <c r="ME28" s="93" t="n"/>
      <c r="MF28" s="93" t="n"/>
      <c r="MG28" s="93" t="n"/>
      <c r="MH28" s="93" t="n"/>
      <c r="MI28" s="93" t="n"/>
      <c r="MJ28" s="93" t="n"/>
      <c r="MK28" s="93" t="n"/>
      <c r="ML28" s="93" t="n"/>
      <c r="MM28" s="93" t="n"/>
      <c r="MN28" s="93" t="n"/>
      <c r="MO28" s="93" t="n"/>
      <c r="MP28" s="93" t="n"/>
      <c r="MQ28" s="93" t="n"/>
      <c r="MR28" s="93" t="n"/>
      <c r="MS28" s="93" t="n"/>
      <c r="MT28" s="93" t="n"/>
      <c r="MU28" s="93" t="n"/>
      <c r="MV28" s="93" t="n"/>
      <c r="MW28" s="93" t="n"/>
      <c r="MX28" s="93" t="n"/>
      <c r="MY28" s="93" t="n"/>
      <c r="MZ28" s="93" t="n"/>
      <c r="NA28" s="93" t="n"/>
      <c r="NB28" s="93" t="n"/>
      <c r="NC28" s="93" t="n"/>
      <c r="ND28" s="93" t="n"/>
      <c r="NE28" s="93" t="n"/>
      <c r="NF28" s="93" t="n"/>
      <c r="NG28" s="93" t="n"/>
      <c r="NH28" s="93" t="n"/>
      <c r="NI28" s="93" t="n"/>
      <c r="NJ28" s="93" t="n"/>
      <c r="NK28" s="93" t="n"/>
      <c r="NL28" s="93" t="n"/>
      <c r="NM28" s="93" t="n"/>
      <c r="NN28" s="93" t="n"/>
      <c r="NO28" s="93" t="n"/>
      <c r="NP28" s="93" t="n"/>
      <c r="NQ28" s="93" t="n"/>
      <c r="NR28" s="93" t="n"/>
      <c r="NS28" s="93" t="n"/>
      <c r="NT28" s="93" t="n"/>
      <c r="NU28" s="93" t="n"/>
      <c r="NV28" s="93" t="n"/>
      <c r="NW28" s="93" t="n"/>
      <c r="NX28" s="93" t="n"/>
      <c r="NY28" s="93" t="n"/>
      <c r="NZ28" s="93" t="n"/>
      <c r="OA28" s="93" t="n"/>
      <c r="OB28" s="93" t="n"/>
      <c r="OC28" s="93" t="n"/>
      <c r="OD28" s="93" t="n"/>
      <c r="OE28" s="93" t="n"/>
      <c r="OF28" s="93" t="n"/>
      <c r="OG28" s="93" t="n"/>
      <c r="OH28" s="93" t="n"/>
      <c r="OI28" s="93" t="n"/>
    </row>
    <row r="29" ht="24" customHeight="1" s="799" thickBot="1">
      <c r="A29" s="115" t="n"/>
      <c r="B29" s="116" t="n"/>
      <c r="C29" s="116" t="n"/>
      <c r="D29" s="116" t="n"/>
      <c r="E29" s="116" t="n"/>
      <c r="F29" s="116" t="n"/>
      <c r="G29" s="116" t="n"/>
      <c r="H29" s="117" t="n"/>
      <c r="I29" s="117" t="n"/>
      <c r="J29" s="117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AD29" s="291" t="n"/>
      <c r="AE29" s="292" t="n"/>
      <c r="AF29" s="293" t="n"/>
      <c r="AG29" s="268" t="n"/>
      <c r="AI29" s="199" t="inlineStr">
        <is>
          <t>Funding ideas</t>
        </is>
      </c>
      <c r="AJ29" s="150" t="n"/>
      <c r="AK29" s="150" t="n"/>
      <c r="AL29" s="150" t="n"/>
      <c r="AM29" s="150" t="n"/>
      <c r="AN29" s="1096" t="n"/>
      <c r="AO29" s="1096" t="n"/>
      <c r="AP29" s="1096" t="n"/>
      <c r="AQ29" s="1096" t="n"/>
      <c r="AR29" s="1096" t="n"/>
      <c r="AS29" s="150" t="n"/>
      <c r="AT29" s="150" t="n"/>
      <c r="AU29" s="150" t="n"/>
      <c r="AV29" s="150" t="n"/>
      <c r="AW29" s="142" t="n"/>
      <c r="AX29" s="142" t="n"/>
      <c r="AY29" s="142" t="n"/>
      <c r="AZ29" s="142" t="n"/>
      <c r="BA29" s="142" t="n"/>
      <c r="BB29" s="142" t="n"/>
      <c r="BC29" s="142" t="n"/>
      <c r="BD29" s="142" t="n"/>
      <c r="BE29" s="142" t="n"/>
      <c r="BF29" s="142" t="n"/>
      <c r="BG29" s="142" t="n"/>
      <c r="BH29" s="142" t="n"/>
      <c r="BI29" s="142" t="n"/>
      <c r="BJ29" s="144" t="n"/>
      <c r="BK29" s="144" t="n"/>
      <c r="BL29" s="144" t="n"/>
      <c r="BM29" s="144" t="n"/>
      <c r="BN29" s="144" t="n"/>
      <c r="BO29" s="144" t="n"/>
      <c r="BP29" s="144" t="n"/>
    </row>
    <row r="30" ht="24" customFormat="1" customHeight="1" s="88">
      <c r="A30" s="101" t="inlineStr">
        <is>
          <t>Sources</t>
        </is>
      </c>
      <c r="B30" s="102" t="n"/>
      <c r="C30" s="102" t="n"/>
      <c r="D30" s="102" t="n"/>
      <c r="E30" s="102" t="n"/>
      <c r="F30" s="102" t="n"/>
      <c r="G30" s="102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276" t="n"/>
      <c r="AE30" s="286" t="n"/>
      <c r="AF30" s="287" t="n"/>
      <c r="AG30" s="265" t="n"/>
      <c r="AH30" s="93" t="n"/>
      <c r="AI30" s="200" t="inlineStr">
        <is>
          <t>Reconcile Loan / Equity from Sales</t>
        </is>
      </c>
      <c r="AJ30" s="150" t="n"/>
      <c r="AK30" s="150" t="inlineStr">
        <is>
          <t>to negotiate 1.5m loan from Aukera</t>
        </is>
      </c>
      <c r="AL30" s="150" t="n"/>
      <c r="AM30" s="150" t="n"/>
      <c r="AN30" s="1096" t="n"/>
      <c r="AO30" s="1096" t="n"/>
      <c r="AP30" s="1096" t="n"/>
      <c r="AQ30" s="1096" t="n"/>
      <c r="AR30" s="1096" t="n"/>
      <c r="AS30" s="150" t="n"/>
      <c r="AT30" s="150" t="n"/>
      <c r="AU30" s="150" t="n"/>
      <c r="AV30" s="150" t="n"/>
      <c r="AW30" s="142" t="n"/>
      <c r="AX30" s="142" t="n"/>
      <c r="AY30" s="142" t="n"/>
      <c r="AZ30" s="142" t="n"/>
      <c r="BA30" s="142" t="n"/>
      <c r="BB30" s="142" t="n"/>
      <c r="BC30" s="142" t="n"/>
      <c r="BD30" s="142" t="n"/>
      <c r="BE30" s="142" t="n"/>
      <c r="BF30" s="142" t="n"/>
      <c r="BG30" s="142" t="n"/>
      <c r="BH30" s="142" t="n"/>
      <c r="BI30" s="142" t="n"/>
      <c r="BJ30" s="143" t="n"/>
      <c r="BK30" s="143" t="n"/>
      <c r="BL30" s="143" t="n"/>
      <c r="BM30" s="143" t="n"/>
      <c r="BN30" s="143" t="n"/>
      <c r="BO30" s="143" t="n"/>
      <c r="BP30" s="143" t="n"/>
      <c r="BQ30" s="93" t="n"/>
      <c r="BR30" s="93" t="n"/>
      <c r="BS30" s="93" t="n"/>
      <c r="BT30" s="93" t="n"/>
      <c r="BU30" s="93" t="n"/>
      <c r="BV30" s="93" t="n"/>
      <c r="BW30" s="93" t="n"/>
      <c r="BX30" s="93" t="n"/>
      <c r="BY30" s="93" t="n"/>
      <c r="BZ30" s="93" t="n"/>
      <c r="CA30" s="93" t="n"/>
      <c r="CB30" s="93" t="n"/>
      <c r="CC30" s="93" t="n"/>
      <c r="CD30" s="93" t="n"/>
      <c r="CE30" s="93" t="n"/>
      <c r="CF30" s="93" t="n"/>
      <c r="CG30" s="93" t="n"/>
      <c r="CH30" s="93" t="n"/>
      <c r="CI30" s="93" t="n"/>
      <c r="CJ30" s="93" t="n"/>
      <c r="CK30" s="93" t="n"/>
      <c r="CL30" s="93" t="n"/>
      <c r="CM30" s="93" t="n"/>
      <c r="CN30" s="93" t="n"/>
      <c r="CO30" s="93" t="n"/>
      <c r="CP30" s="93" t="n"/>
      <c r="CQ30" s="93" t="n"/>
      <c r="CR30" s="93" t="n"/>
      <c r="CS30" s="93" t="n"/>
      <c r="CT30" s="93" t="n"/>
      <c r="CU30" s="93" t="n"/>
      <c r="CV30" s="93" t="n"/>
      <c r="CW30" s="93" t="n"/>
      <c r="CX30" s="93" t="n"/>
      <c r="CY30" s="93" t="n"/>
      <c r="CZ30" s="93" t="n"/>
      <c r="DA30" s="93" t="n"/>
      <c r="DB30" s="93" t="n"/>
      <c r="DC30" s="93" t="n"/>
      <c r="DD30" s="93" t="n"/>
      <c r="DE30" s="93" t="n"/>
      <c r="DF30" s="93" t="n"/>
      <c r="DG30" s="93" t="n"/>
      <c r="DH30" s="93" t="n"/>
      <c r="DI30" s="93" t="n"/>
      <c r="DJ30" s="93" t="n"/>
      <c r="DK30" s="93" t="n"/>
      <c r="DL30" s="93" t="n"/>
      <c r="DM30" s="93" t="n"/>
      <c r="DN30" s="93" t="n"/>
      <c r="DO30" s="93" t="n"/>
      <c r="DP30" s="93" t="n"/>
      <c r="DQ30" s="93" t="n"/>
      <c r="DR30" s="93" t="n"/>
      <c r="DS30" s="93" t="n"/>
      <c r="DT30" s="93" t="n"/>
      <c r="DU30" s="93" t="n"/>
      <c r="DV30" s="93" t="n"/>
      <c r="DW30" s="93" t="n"/>
      <c r="DX30" s="93" t="n"/>
      <c r="DY30" s="93" t="n"/>
      <c r="DZ30" s="93" t="n"/>
      <c r="EA30" s="93" t="n"/>
      <c r="EB30" s="93" t="n"/>
      <c r="EC30" s="93" t="n"/>
      <c r="ED30" s="93" t="n"/>
      <c r="EE30" s="93" t="n"/>
      <c r="EF30" s="93" t="n"/>
      <c r="EG30" s="93" t="n"/>
      <c r="EH30" s="93" t="n"/>
      <c r="EI30" s="93" t="n"/>
      <c r="EJ30" s="93" t="n"/>
      <c r="EK30" s="93" t="n"/>
      <c r="EL30" s="93" t="n"/>
      <c r="EM30" s="93" t="n"/>
      <c r="EN30" s="93" t="n"/>
      <c r="EO30" s="93" t="n"/>
      <c r="EP30" s="93" t="n"/>
      <c r="EQ30" s="93" t="n"/>
      <c r="ER30" s="93" t="n"/>
      <c r="ES30" s="93" t="n"/>
      <c r="ET30" s="93" t="n"/>
      <c r="EU30" s="93" t="n"/>
      <c r="EV30" s="93" t="n"/>
      <c r="EW30" s="93" t="n"/>
      <c r="EX30" s="93" t="n"/>
      <c r="EY30" s="93" t="n"/>
      <c r="EZ30" s="93" t="n"/>
      <c r="FA30" s="93" t="n"/>
      <c r="FB30" s="93" t="n"/>
      <c r="FC30" s="93" t="n"/>
      <c r="FD30" s="93" t="n"/>
      <c r="FE30" s="93" t="n"/>
      <c r="FF30" s="93" t="n"/>
      <c r="FG30" s="93" t="n"/>
      <c r="FH30" s="93" t="n"/>
      <c r="FI30" s="93" t="n"/>
      <c r="FJ30" s="93" t="n"/>
      <c r="FK30" s="93" t="n"/>
      <c r="FL30" s="93" t="n"/>
      <c r="FM30" s="93" t="n"/>
      <c r="FN30" s="93" t="n"/>
      <c r="FO30" s="93" t="n"/>
      <c r="FP30" s="93" t="n"/>
      <c r="FQ30" s="93" t="n"/>
      <c r="FR30" s="93" t="n"/>
      <c r="FS30" s="93" t="n"/>
      <c r="FT30" s="93" t="n"/>
      <c r="FU30" s="93" t="n"/>
      <c r="FV30" s="93" t="n"/>
      <c r="FW30" s="93" t="n"/>
      <c r="FX30" s="93" t="n"/>
      <c r="FY30" s="93" t="n"/>
      <c r="FZ30" s="93" t="n"/>
      <c r="GA30" s="93" t="n"/>
      <c r="GB30" s="93" t="n"/>
      <c r="GC30" s="93" t="n"/>
      <c r="GD30" s="93" t="n"/>
      <c r="GE30" s="93" t="n"/>
      <c r="GF30" s="93" t="n"/>
      <c r="GG30" s="93" t="n"/>
      <c r="GH30" s="93" t="n"/>
      <c r="GI30" s="93" t="n"/>
      <c r="GJ30" s="93" t="n"/>
      <c r="GK30" s="93" t="n"/>
      <c r="GL30" s="93" t="n"/>
      <c r="GM30" s="93" t="n"/>
      <c r="GN30" s="93" t="n"/>
      <c r="GO30" s="93" t="n"/>
      <c r="GP30" s="93" t="n"/>
      <c r="GQ30" s="93" t="n"/>
      <c r="GR30" s="93" t="n"/>
      <c r="GS30" s="93" t="n"/>
      <c r="GT30" s="93" t="n"/>
      <c r="GU30" s="93" t="n"/>
      <c r="GV30" s="93" t="n"/>
      <c r="GW30" s="93" t="n"/>
      <c r="GX30" s="93" t="n"/>
      <c r="GY30" s="93" t="n"/>
      <c r="GZ30" s="93" t="n"/>
      <c r="HA30" s="93" t="n"/>
      <c r="HB30" s="93" t="n"/>
      <c r="HC30" s="93" t="n"/>
      <c r="HD30" s="93" t="n"/>
      <c r="HE30" s="93" t="n"/>
      <c r="HF30" s="93" t="n"/>
      <c r="HG30" s="93" t="n"/>
      <c r="HH30" s="93" t="n"/>
      <c r="HI30" s="93" t="n"/>
      <c r="HJ30" s="93" t="n"/>
      <c r="HK30" s="93" t="n"/>
      <c r="HL30" s="93" t="n"/>
      <c r="HM30" s="93" t="n"/>
      <c r="HN30" s="93" t="n"/>
      <c r="HO30" s="93" t="n"/>
      <c r="HP30" s="93" t="n"/>
      <c r="HQ30" s="93" t="n"/>
      <c r="HR30" s="93" t="n"/>
      <c r="HS30" s="93" t="n"/>
      <c r="HT30" s="93" t="n"/>
      <c r="HU30" s="93" t="n"/>
      <c r="HV30" s="93" t="n"/>
      <c r="HW30" s="93" t="n"/>
      <c r="HX30" s="93" t="n"/>
      <c r="HY30" s="93" t="n"/>
      <c r="HZ30" s="93" t="n"/>
      <c r="IA30" s="93" t="n"/>
      <c r="IB30" s="93" t="n"/>
      <c r="IC30" s="93" t="n"/>
      <c r="ID30" s="93" t="n"/>
      <c r="IE30" s="93" t="n"/>
      <c r="IF30" s="93" t="n"/>
      <c r="IG30" s="93" t="n"/>
      <c r="IH30" s="93" t="n"/>
      <c r="II30" s="93" t="n"/>
      <c r="IJ30" s="93" t="n"/>
      <c r="IK30" s="93" t="n"/>
      <c r="IL30" s="93" t="n"/>
      <c r="IM30" s="93" t="n"/>
      <c r="IN30" s="93" t="n"/>
      <c r="IO30" s="93" t="n"/>
      <c r="IP30" s="93" t="n"/>
      <c r="IQ30" s="93" t="n"/>
      <c r="IR30" s="93" t="n"/>
      <c r="IS30" s="93" t="n"/>
      <c r="IT30" s="93" t="n"/>
      <c r="IU30" s="93" t="n"/>
      <c r="IV30" s="93" t="n"/>
      <c r="IW30" s="93" t="n"/>
      <c r="IX30" s="93" t="n"/>
      <c r="IY30" s="93" t="n"/>
      <c r="IZ30" s="93" t="n"/>
      <c r="JA30" s="93" t="n"/>
      <c r="JB30" s="93" t="n"/>
      <c r="JC30" s="93" t="n"/>
      <c r="JD30" s="93" t="n"/>
      <c r="JE30" s="93" t="n"/>
      <c r="JF30" s="93" t="n"/>
      <c r="JG30" s="93" t="n"/>
      <c r="JH30" s="93" t="n"/>
      <c r="JI30" s="93" t="n"/>
      <c r="JJ30" s="93" t="n"/>
      <c r="JK30" s="93" t="n"/>
      <c r="JL30" s="93" t="n"/>
      <c r="JM30" s="93" t="n"/>
      <c r="JN30" s="93" t="n"/>
      <c r="JO30" s="93" t="n"/>
      <c r="JP30" s="93" t="n"/>
      <c r="JQ30" s="93" t="n"/>
      <c r="JR30" s="93" t="n"/>
      <c r="JS30" s="93" t="n"/>
      <c r="JT30" s="93" t="n"/>
      <c r="JU30" s="93" t="n"/>
      <c r="JV30" s="93" t="n"/>
      <c r="JW30" s="93" t="n"/>
      <c r="JX30" s="93" t="n"/>
      <c r="JY30" s="93" t="n"/>
      <c r="JZ30" s="93" t="n"/>
      <c r="KA30" s="93" t="n"/>
      <c r="KB30" s="93" t="n"/>
      <c r="KC30" s="93" t="n"/>
      <c r="KD30" s="93" t="n"/>
      <c r="KE30" s="93" t="n"/>
      <c r="KF30" s="93" t="n"/>
      <c r="KG30" s="93" t="n"/>
      <c r="KH30" s="93" t="n"/>
      <c r="KI30" s="93" t="n"/>
      <c r="KJ30" s="93" t="n"/>
      <c r="KK30" s="93" t="n"/>
      <c r="KL30" s="93" t="n"/>
      <c r="KM30" s="93" t="n"/>
      <c r="KN30" s="93" t="n"/>
      <c r="KO30" s="93" t="n"/>
      <c r="KP30" s="93" t="n"/>
      <c r="KQ30" s="93" t="n"/>
      <c r="KR30" s="93" t="n"/>
      <c r="KS30" s="93" t="n"/>
      <c r="KT30" s="93" t="n"/>
      <c r="KU30" s="93" t="n"/>
      <c r="KV30" s="93" t="n"/>
      <c r="KW30" s="93" t="n"/>
      <c r="KX30" s="93" t="n"/>
      <c r="KY30" s="93" t="n"/>
      <c r="KZ30" s="93" t="n"/>
      <c r="LA30" s="93" t="n"/>
      <c r="LB30" s="93" t="n"/>
      <c r="LC30" s="93" t="n"/>
      <c r="LD30" s="93" t="n"/>
      <c r="LE30" s="93" t="n"/>
      <c r="LF30" s="93" t="n"/>
      <c r="LG30" s="93" t="n"/>
      <c r="LH30" s="93" t="n"/>
      <c r="LI30" s="93" t="n"/>
      <c r="LJ30" s="93" t="n"/>
      <c r="LK30" s="93" t="n"/>
      <c r="LL30" s="93" t="n"/>
      <c r="LM30" s="93" t="n"/>
      <c r="LN30" s="93" t="n"/>
      <c r="LO30" s="93" t="n"/>
      <c r="LP30" s="93" t="n"/>
      <c r="LQ30" s="93" t="n"/>
      <c r="LR30" s="93" t="n"/>
      <c r="LS30" s="93" t="n"/>
      <c r="LT30" s="93" t="n"/>
      <c r="LU30" s="93" t="n"/>
      <c r="LV30" s="93" t="n"/>
      <c r="LW30" s="93" t="n"/>
      <c r="LX30" s="93" t="n"/>
      <c r="LY30" s="93" t="n"/>
      <c r="LZ30" s="93" t="n"/>
      <c r="MA30" s="93" t="n"/>
      <c r="MB30" s="93" t="n"/>
      <c r="MC30" s="93" t="n"/>
      <c r="MD30" s="93" t="n"/>
      <c r="ME30" s="93" t="n"/>
      <c r="MF30" s="93" t="n"/>
      <c r="MG30" s="93" t="n"/>
      <c r="MH30" s="93" t="n"/>
      <c r="MI30" s="93" t="n"/>
      <c r="MJ30" s="93" t="n"/>
      <c r="MK30" s="93" t="n"/>
      <c r="ML30" s="93" t="n"/>
      <c r="MM30" s="93" t="n"/>
      <c r="MN30" s="93" t="n"/>
      <c r="MO30" s="93" t="n"/>
      <c r="MP30" s="93" t="n"/>
      <c r="MQ30" s="93" t="n"/>
      <c r="MR30" s="93" t="n"/>
      <c r="MS30" s="93" t="n"/>
      <c r="MT30" s="93" t="n"/>
      <c r="MU30" s="93" t="n"/>
      <c r="MV30" s="93" t="n"/>
      <c r="MW30" s="93" t="n"/>
      <c r="MX30" s="93" t="n"/>
      <c r="MY30" s="93" t="n"/>
      <c r="MZ30" s="93" t="n"/>
      <c r="NA30" s="93" t="n"/>
      <c r="NB30" s="93" t="n"/>
      <c r="NC30" s="93" t="n"/>
      <c r="ND30" s="93" t="n"/>
      <c r="NE30" s="93" t="n"/>
      <c r="NF30" s="93" t="n"/>
      <c r="NG30" s="93" t="n"/>
      <c r="NH30" s="93" t="n"/>
      <c r="NI30" s="93" t="n"/>
      <c r="NJ30" s="93" t="n"/>
      <c r="NK30" s="93" t="n"/>
      <c r="NL30" s="93" t="n"/>
      <c r="NM30" s="93" t="n"/>
      <c r="NN30" s="93" t="n"/>
      <c r="NO30" s="93" t="n"/>
      <c r="NP30" s="93" t="n"/>
      <c r="NQ30" s="93" t="n"/>
      <c r="NR30" s="93" t="n"/>
      <c r="NS30" s="93" t="n"/>
      <c r="NT30" s="93" t="n"/>
      <c r="NU30" s="93" t="n"/>
      <c r="NV30" s="93" t="n"/>
      <c r="NW30" s="93" t="n"/>
      <c r="NX30" s="93" t="n"/>
      <c r="NY30" s="93" t="n"/>
      <c r="NZ30" s="93" t="n"/>
      <c r="OA30" s="93" t="n"/>
      <c r="OB30" s="93" t="n"/>
      <c r="OC30" s="93" t="n"/>
      <c r="OD30" s="93" t="n"/>
      <c r="OE30" s="93" t="n"/>
      <c r="OF30" s="93" t="n"/>
      <c r="OG30" s="93" t="n"/>
      <c r="OH30" s="93" t="n"/>
      <c r="OI30" s="93" t="n"/>
    </row>
    <row r="31" ht="24" customHeight="1" s="799">
      <c r="A31" s="137" t="inlineStr">
        <is>
          <t>Sales</t>
        </is>
      </c>
      <c r="B31" s="119" t="n"/>
      <c r="C31" s="119" t="n"/>
      <c r="D31" s="119" t="n">
        <v>3800000</v>
      </c>
      <c r="E31" s="119" t="n"/>
      <c r="F31" s="119" t="n"/>
      <c r="G31" s="119" t="n"/>
      <c r="H31" s="1077" t="n"/>
      <c r="I31" s="1077" t="n"/>
      <c r="J31" s="1077" t="n"/>
      <c r="K31" s="1077" t="n"/>
      <c r="L31" s="1077" t="n"/>
      <c r="M31" s="1077" t="n"/>
      <c r="N31" s="1077" t="n"/>
      <c r="O31" s="1077" t="n"/>
      <c r="P31" s="1077" t="n"/>
      <c r="Q31" s="1077" t="n"/>
      <c r="R31" s="1077" t="n">
        <v>6000000</v>
      </c>
      <c r="S31" s="1077" t="n"/>
      <c r="T31" s="1077" t="n"/>
      <c r="U31" s="1077" t="n"/>
      <c r="V31" s="1077" t="n"/>
      <c r="W31" s="1077" t="n">
        <v>3120000</v>
      </c>
      <c r="X31" s="1077" t="n"/>
      <c r="Y31" s="1077" t="n">
        <v>4430118</v>
      </c>
      <c r="Z31" s="1077" t="n"/>
      <c r="AA31" s="1084" t="n"/>
      <c r="AB31" s="1084" t="n"/>
      <c r="AC31" s="1084" t="n"/>
      <c r="AD31" s="1080">
        <f>SUM(N31:W31)</f>
        <v/>
      </c>
      <c r="AE31" s="1080">
        <f>SUM(X31:AC31)</f>
        <v/>
      </c>
      <c r="AF31" s="1087" t="n"/>
      <c r="AG31" s="269">
        <f>SUM(AA31:AC31)</f>
        <v/>
      </c>
      <c r="AI31" s="200" t="inlineStr">
        <is>
          <t>Aukera Annaberg loan</t>
        </is>
      </c>
      <c r="AJ31" s="150" t="n"/>
      <c r="AK31" s="150" t="inlineStr">
        <is>
          <t>on current sale of 3 apartments</t>
        </is>
      </c>
      <c r="AL31" s="150" t="n"/>
      <c r="AM31" s="1096" t="n">
        <v>1753800</v>
      </c>
      <c r="AN31" s="1096" t="n"/>
      <c r="AO31" s="1096" t="n"/>
      <c r="AP31" s="1096" t="n"/>
      <c r="AQ31" s="1096" t="n"/>
      <c r="AR31" s="1096" t="n"/>
      <c r="AS31" s="150" t="n"/>
      <c r="AT31" s="150" t="n"/>
      <c r="AU31" s="150" t="n"/>
      <c r="AV31" s="150" t="n"/>
      <c r="AW31" s="142" t="n"/>
      <c r="AX31" s="142" t="n"/>
      <c r="AY31" s="142" t="n"/>
      <c r="AZ31" s="142" t="n"/>
      <c r="BA31" s="142" t="n"/>
      <c r="BB31" s="142" t="n"/>
      <c r="BC31" s="142" t="n"/>
      <c r="BD31" s="142" t="n"/>
      <c r="BE31" s="142" t="n"/>
      <c r="BF31" s="142" t="n"/>
      <c r="BG31" s="142" t="n"/>
      <c r="BH31" s="142" t="n"/>
      <c r="BI31" s="142" t="n"/>
      <c r="BJ31" s="144" t="n"/>
      <c r="BK31" s="144" t="n"/>
      <c r="BL31" s="144" t="n"/>
      <c r="BM31" s="144" t="n"/>
      <c r="BN31" s="144" t="n"/>
      <c r="BO31" s="144" t="n"/>
      <c r="BP31" s="144" t="n"/>
    </row>
    <row r="32" ht="24" customHeight="1" s="799">
      <c r="A32" s="137" t="inlineStr">
        <is>
          <t>Special Requests, interests Cupial, Sales Fee</t>
        </is>
      </c>
      <c r="B32" s="119" t="n"/>
      <c r="C32" s="119" t="n"/>
      <c r="D32" s="119" t="n"/>
      <c r="E32" s="119" t="n"/>
      <c r="F32" s="119" t="n"/>
      <c r="G32" s="119" t="n"/>
      <c r="H32" s="1077" t="n">
        <v>110000</v>
      </c>
      <c r="I32" s="1077" t="n">
        <v>50000</v>
      </c>
      <c r="J32" s="1077" t="n">
        <v>66000</v>
      </c>
      <c r="K32" s="1077" t="n"/>
      <c r="L32" s="1077" t="n"/>
      <c r="M32" s="1077" t="n"/>
      <c r="N32" s="1077" t="n">
        <v>48546</v>
      </c>
      <c r="O32" s="1077" t="n"/>
      <c r="P32" s="1077" t="n"/>
      <c r="Q32" s="1077" t="n"/>
      <c r="R32" s="1077" t="n"/>
      <c r="S32" s="1077" t="n">
        <v>276200</v>
      </c>
      <c r="T32" s="1077" t="n"/>
      <c r="U32" s="1077" t="n"/>
      <c r="V32" s="1077" t="n"/>
      <c r="W32" s="1077">
        <f>1491944+283800-41400+22631+11720</f>
        <v/>
      </c>
      <c r="X32" s="1077" t="n">
        <v>132000</v>
      </c>
      <c r="Y32" s="1077" t="n"/>
      <c r="Z32" s="1077" t="n">
        <v>482566</v>
      </c>
      <c r="AA32" s="1078" t="n"/>
      <c r="AB32" s="1078" t="n">
        <v>100000</v>
      </c>
      <c r="AC32" s="1079" t="n"/>
      <c r="AD32" s="1080">
        <f>SUM(N32:W32)</f>
        <v/>
      </c>
      <c r="AE32" s="1080">
        <f>SUM(X32:AC32)</f>
        <v/>
      </c>
      <c r="AF32" s="1087" t="n"/>
      <c r="AG32" s="269">
        <f>SUM(AA32:AC32)</f>
        <v/>
      </c>
      <c r="AH32" s="108" t="n"/>
      <c r="AI32" s="200" t="inlineStr">
        <is>
          <t>MO Fee settlement</t>
        </is>
      </c>
      <c r="AJ32" s="150" t="n"/>
      <c r="AK32" s="150" t="inlineStr">
        <is>
          <t>to negotiate 1.5m loan from MO</t>
        </is>
      </c>
      <c r="AL32" s="150" t="n"/>
      <c r="AM32" s="150" t="n"/>
      <c r="AN32" s="1096" t="inlineStr">
        <is>
          <t xml:space="preserve"> </t>
        </is>
      </c>
      <c r="AO32" s="1096" t="n"/>
      <c r="AP32" s="1096" t="n"/>
      <c r="AQ32" s="1096" t="n"/>
      <c r="AR32" s="1096" t="n"/>
      <c r="AS32" s="150" t="n"/>
      <c r="AT32" s="150" t="n"/>
      <c r="AU32" s="150" t="n"/>
      <c r="AV32" s="150" t="n"/>
      <c r="AW32" s="142" t="n"/>
      <c r="AX32" s="142" t="n"/>
      <c r="AY32" s="142" t="n"/>
      <c r="AZ32" s="142" t="n"/>
      <c r="BA32" s="142" t="n"/>
      <c r="BB32" s="142" t="n"/>
      <c r="BC32" s="142" t="n"/>
      <c r="BD32" s="142" t="n"/>
      <c r="BE32" s="142" t="n"/>
      <c r="BF32" s="142" t="n"/>
      <c r="BG32" s="142" t="n"/>
      <c r="BH32" s="142" t="n"/>
      <c r="BI32" s="142" t="n"/>
      <c r="BJ32" s="144" t="n"/>
      <c r="BK32" s="144" t="n"/>
      <c r="BL32" s="144" t="n"/>
      <c r="BM32" s="144" t="n"/>
      <c r="BN32" s="144" t="n"/>
      <c r="BO32" s="144" t="n"/>
      <c r="BP32" s="144" t="n"/>
    </row>
    <row r="33" ht="24" customHeight="1" s="799">
      <c r="A33" s="137" t="inlineStr">
        <is>
          <t>Release of Cash LIST, HAG 5% retention money</t>
        </is>
      </c>
      <c r="B33" s="119" t="n"/>
      <c r="C33" s="119" t="n"/>
      <c r="D33" s="119" t="n"/>
      <c r="E33" s="119" t="n"/>
      <c r="F33" s="119" t="n"/>
      <c r="G33" s="119" t="n"/>
      <c r="H33" s="111" t="n"/>
      <c r="I33" s="111" t="n"/>
      <c r="J33" s="111" t="n"/>
      <c r="K33" s="1077">
        <f>-(K9+K10+K11)*0.05</f>
        <v/>
      </c>
      <c r="L33" s="1077">
        <f>-(L9+L10+L11)*0.05</f>
        <v/>
      </c>
      <c r="M33" s="1077">
        <f>-(M9+M10+M11)*0.05</f>
        <v/>
      </c>
      <c r="N33" s="1077">
        <f>-(N9+N10+N11)*0.05</f>
        <v/>
      </c>
      <c r="O33" s="1077">
        <f>-(O9+O10+O11)*0.05</f>
        <v/>
      </c>
      <c r="P33" s="1077">
        <f>-(P9+P10+P11)*0.05</f>
        <v/>
      </c>
      <c r="Q33" s="1077">
        <f>-(Q9+Q10+Q11)*0.05</f>
        <v/>
      </c>
      <c r="R33" s="1077">
        <f>-(R9+R10+R11)*0.05</f>
        <v/>
      </c>
      <c r="S33" s="1077">
        <f>-(S9+S10+S11)*0.05</f>
        <v/>
      </c>
      <c r="T33" s="1077">
        <f>-(T9+T10+T11+T12)*0.05+4500000</f>
        <v/>
      </c>
      <c r="U33" s="1077">
        <f>-(U9+U10+U11+U12)*0.05</f>
        <v/>
      </c>
      <c r="V33" s="1077" t="n"/>
      <c r="W33" s="1077" t="n"/>
      <c r="X33" s="1077" t="n"/>
      <c r="Y33" s="1077" t="n"/>
      <c r="Z33" s="1077" t="n"/>
      <c r="AA33" s="1078" t="n"/>
      <c r="AB33" s="1078" t="n"/>
      <c r="AC33" s="1079" t="n"/>
      <c r="AD33" s="1080">
        <f>SUM(N33:W33)</f>
        <v/>
      </c>
      <c r="AE33" s="1080">
        <f>SUM(X33:AC33)</f>
        <v/>
      </c>
      <c r="AF33" s="1087" t="n"/>
      <c r="AG33" s="269">
        <f>SUM(AA33:AC33)</f>
        <v/>
      </c>
      <c r="AI33" s="184" t="n"/>
      <c r="AJ33" s="184" t="n"/>
      <c r="AK33" s="184" t="n"/>
      <c r="AL33" s="184" t="n"/>
      <c r="AM33" s="150" t="n"/>
      <c r="AN33" s="1096" t="n"/>
      <c r="AO33" s="1096" t="n"/>
      <c r="AP33" s="1096" t="n"/>
      <c r="AQ33" s="1096" t="n"/>
      <c r="AR33" s="1096" t="n"/>
      <c r="AS33" s="150" t="n"/>
      <c r="AT33" s="150" t="n"/>
      <c r="AU33" s="150" t="n"/>
      <c r="AV33" s="150" t="n"/>
      <c r="AW33" s="142" t="n"/>
      <c r="AX33" s="142" t="n"/>
      <c r="AY33" s="142" t="n"/>
      <c r="AZ33" s="142" t="n"/>
      <c r="BA33" s="142" t="n"/>
      <c r="BB33" s="142" t="n"/>
      <c r="BC33" s="142" t="n"/>
      <c r="BD33" s="142" t="n"/>
      <c r="BE33" s="142" t="n"/>
      <c r="BF33" s="142" t="n"/>
      <c r="BG33" s="142" t="n"/>
      <c r="BH33" s="142" t="n"/>
      <c r="BI33" s="142" t="n"/>
      <c r="BJ33" s="144" t="n"/>
      <c r="BK33" s="144" t="n"/>
      <c r="BL33" s="144" t="n"/>
      <c r="BM33" s="144" t="n"/>
      <c r="BN33" s="144" t="n"/>
      <c r="BO33" s="144" t="n"/>
      <c r="BP33" s="144" t="n"/>
    </row>
    <row r="34" ht="24" customFormat="1" customHeight="1" s="121">
      <c r="A34" s="138" t="inlineStr">
        <is>
          <t>Equity</t>
        </is>
      </c>
      <c r="B34" s="119" t="n"/>
      <c r="C34" s="119" t="n">
        <v>610000</v>
      </c>
      <c r="D34" s="119" t="n"/>
      <c r="E34" s="119" t="n">
        <v>4320000</v>
      </c>
      <c r="F34" s="119" t="n"/>
      <c r="G34" s="119" t="n">
        <v>2100000</v>
      </c>
      <c r="H34" s="120">
        <f>1700000-H23</f>
        <v/>
      </c>
      <c r="I34" s="120">
        <f>450000+550000-I23-I24</f>
        <v/>
      </c>
      <c r="J34" s="120">
        <f>825000+1845000+1390000</f>
        <v/>
      </c>
      <c r="K34" s="120" t="n">
        <v>4040000</v>
      </c>
      <c r="L34" s="120">
        <f>460000+2000000+2930000-L23-L24-L26</f>
        <v/>
      </c>
      <c r="M34" s="120">
        <f>-M23-M24</f>
        <v/>
      </c>
      <c r="N34" s="120">
        <f>485000-N23-N24</f>
        <v/>
      </c>
      <c r="O34" s="120">
        <f>72000-O23-O24</f>
        <v/>
      </c>
      <c r="P34" s="120">
        <f>985000-P23-P24</f>
        <v/>
      </c>
      <c r="Q34" s="120">
        <f>74191-Q23-Q24-Q26</f>
        <v/>
      </c>
      <c r="R34" s="120">
        <f>5000000+13841+197789-R23-R24-R26</f>
        <v/>
      </c>
      <c r="S34" s="120">
        <f>110200-S23-S24-S26</f>
        <v/>
      </c>
      <c r="T34" s="1077">
        <f>265300-T23-T24-T26</f>
        <v/>
      </c>
      <c r="U34" s="1077">
        <f>243000+951000-U23-U24-U26-U25</f>
        <v/>
      </c>
      <c r="V34" s="1077">
        <f>215500+34000-V23-V24-V26-V25</f>
        <v/>
      </c>
      <c r="W34" s="1077">
        <f>28100+500000-W23-W24-W25</f>
        <v/>
      </c>
      <c r="X34" s="1077">
        <f>-X23-X24-X26-X25</f>
        <v/>
      </c>
      <c r="Y34" s="1077">
        <f>121000-Y23-Y24-Y26-Y25</f>
        <v/>
      </c>
      <c r="Z34" s="1077">
        <f>2500000-Z23-Z24-Z25</f>
        <v/>
      </c>
      <c r="AA34" s="1077" t="n">
        <v>2000000</v>
      </c>
      <c r="AB34" s="1077" t="n">
        <v>2000000</v>
      </c>
      <c r="AC34" s="1113" t="n">
        <v>3000000</v>
      </c>
      <c r="AD34" s="1080">
        <f>SUM(N34:W34)</f>
        <v/>
      </c>
      <c r="AE34" s="1080">
        <f>SUM(X34:AC34)</f>
        <v/>
      </c>
      <c r="AF34" s="1125" t="n"/>
      <c r="AG34" s="269">
        <f>SUM(AA34:AC34)</f>
        <v/>
      </c>
      <c r="AH34" s="82" t="n"/>
      <c r="AI34" s="200" t="n"/>
      <c r="AJ34" s="150" t="n"/>
      <c r="AK34" s="150" t="n"/>
      <c r="AL34" s="150" t="n"/>
      <c r="AM34" s="150" t="n"/>
      <c r="AN34" s="1096" t="n"/>
      <c r="AO34" s="1096" t="n"/>
      <c r="AP34" s="1096" t="n"/>
      <c r="AQ34" s="1096" t="n"/>
      <c r="AR34" s="1096" t="n"/>
      <c r="AS34" s="150" t="n"/>
      <c r="AT34" s="150" t="n"/>
      <c r="AU34" s="150" t="n"/>
      <c r="AV34" s="150" t="n"/>
      <c r="AW34" s="142" t="n"/>
      <c r="AX34" s="142" t="n"/>
      <c r="AY34" s="142" t="n"/>
      <c r="AZ34" s="142" t="n"/>
      <c r="BA34" s="142" t="n"/>
      <c r="BB34" s="142" t="n"/>
      <c r="BC34" s="142" t="n"/>
      <c r="BD34" s="142" t="n"/>
      <c r="BE34" s="142" t="n"/>
      <c r="BF34" s="142" t="n"/>
      <c r="BG34" s="142" t="n"/>
      <c r="BH34" s="142" t="n"/>
      <c r="BI34" s="142" t="n"/>
      <c r="BJ34" s="144" t="n"/>
      <c r="BK34" s="144" t="n"/>
      <c r="BL34" s="144" t="n"/>
      <c r="BM34" s="144" t="n"/>
      <c r="BN34" s="144" t="n"/>
      <c r="BO34" s="144" t="n"/>
      <c r="BP34" s="144" t="n"/>
      <c r="BQ34" s="82" t="n"/>
      <c r="BR34" s="82" t="n"/>
      <c r="BS34" s="82" t="n"/>
      <c r="BT34" s="82" t="n"/>
      <c r="BU34" s="82" t="n"/>
      <c r="BV34" s="82" t="n"/>
      <c r="BW34" s="82" t="n"/>
      <c r="BX34" s="82" t="n"/>
      <c r="BY34" s="82" t="n"/>
      <c r="BZ34" s="82" t="n"/>
      <c r="CA34" s="82" t="n"/>
      <c r="CB34" s="82" t="n"/>
      <c r="CC34" s="82" t="n"/>
      <c r="CD34" s="82" t="n"/>
      <c r="CE34" s="82" t="n"/>
      <c r="CF34" s="82" t="n"/>
      <c r="CG34" s="82" t="n"/>
      <c r="CH34" s="82" t="n"/>
      <c r="CI34" s="82" t="n"/>
      <c r="CJ34" s="82" t="n"/>
      <c r="CK34" s="82" t="n"/>
      <c r="CL34" s="82" t="n"/>
      <c r="CM34" s="82" t="n"/>
      <c r="CN34" s="82" t="n"/>
      <c r="CO34" s="82" t="n"/>
      <c r="CP34" s="82" t="n"/>
      <c r="CQ34" s="82" t="n"/>
      <c r="CR34" s="82" t="n"/>
      <c r="CS34" s="82" t="n"/>
      <c r="CT34" s="82" t="n"/>
      <c r="CU34" s="82" t="n"/>
      <c r="CV34" s="82" t="n"/>
      <c r="CW34" s="82" t="n"/>
      <c r="CX34" s="82" t="n"/>
      <c r="CY34" s="82" t="n"/>
      <c r="CZ34" s="82" t="n"/>
      <c r="DA34" s="82" t="n"/>
      <c r="DB34" s="82" t="n"/>
      <c r="DC34" s="82" t="n"/>
      <c r="DD34" s="82" t="n"/>
      <c r="DE34" s="82" t="n"/>
      <c r="DF34" s="82" t="n"/>
      <c r="DG34" s="82" t="n"/>
      <c r="DH34" s="82" t="n"/>
      <c r="DI34" s="82" t="n"/>
      <c r="DJ34" s="82" t="n"/>
      <c r="DK34" s="82" t="n"/>
      <c r="DL34" s="82" t="n"/>
      <c r="DM34" s="82" t="n"/>
      <c r="DN34" s="82" t="n"/>
      <c r="DO34" s="82" t="n"/>
      <c r="DP34" s="82" t="n"/>
      <c r="DQ34" s="82" t="n"/>
      <c r="DR34" s="82" t="n"/>
      <c r="DS34" s="82" t="n"/>
      <c r="DT34" s="82" t="n"/>
      <c r="DU34" s="82" t="n"/>
      <c r="DV34" s="82" t="n"/>
      <c r="DW34" s="82" t="n"/>
      <c r="DX34" s="82" t="n"/>
      <c r="DY34" s="82" t="n"/>
      <c r="DZ34" s="82" t="n"/>
      <c r="EA34" s="82" t="n"/>
      <c r="EB34" s="82" t="n"/>
      <c r="EC34" s="82" t="n"/>
      <c r="ED34" s="82" t="n"/>
      <c r="EE34" s="82" t="n"/>
      <c r="EF34" s="82" t="n"/>
      <c r="EG34" s="82" t="n"/>
      <c r="EH34" s="82" t="n"/>
      <c r="EI34" s="82" t="n"/>
      <c r="EJ34" s="82" t="n"/>
      <c r="EK34" s="82" t="n"/>
      <c r="EL34" s="82" t="n"/>
      <c r="EM34" s="82" t="n"/>
      <c r="EN34" s="82" t="n"/>
      <c r="EO34" s="82" t="n"/>
      <c r="EP34" s="82" t="n"/>
      <c r="EQ34" s="82" t="n"/>
      <c r="ER34" s="82" t="n"/>
      <c r="ES34" s="82" t="n"/>
      <c r="ET34" s="82" t="n"/>
      <c r="EU34" s="82" t="n"/>
      <c r="EV34" s="82" t="n"/>
      <c r="EW34" s="82" t="n"/>
      <c r="EX34" s="82" t="n"/>
      <c r="EY34" s="82" t="n"/>
      <c r="EZ34" s="82" t="n"/>
      <c r="FA34" s="82" t="n"/>
      <c r="FB34" s="82" t="n"/>
      <c r="FC34" s="82" t="n"/>
      <c r="FD34" s="82" t="n"/>
      <c r="FE34" s="82" t="n"/>
      <c r="FF34" s="82" t="n"/>
      <c r="FG34" s="82" t="n"/>
      <c r="FH34" s="82" t="n"/>
      <c r="FI34" s="82" t="n"/>
      <c r="FJ34" s="82" t="n"/>
      <c r="FK34" s="82" t="n"/>
      <c r="FL34" s="82" t="n"/>
      <c r="FM34" s="82" t="n"/>
      <c r="FN34" s="82" t="n"/>
      <c r="FO34" s="82" t="n"/>
      <c r="FP34" s="82" t="n"/>
      <c r="FQ34" s="82" t="n"/>
      <c r="FR34" s="82" t="n"/>
      <c r="FS34" s="82" t="n"/>
      <c r="FT34" s="82" t="n"/>
      <c r="FU34" s="82" t="n"/>
      <c r="FV34" s="82" t="n"/>
      <c r="FW34" s="82" t="n"/>
      <c r="FX34" s="82" t="n"/>
      <c r="FY34" s="82" t="n"/>
      <c r="FZ34" s="82" t="n"/>
      <c r="GA34" s="82" t="n"/>
      <c r="GB34" s="82" t="n"/>
      <c r="GC34" s="82" t="n"/>
      <c r="GD34" s="82" t="n"/>
      <c r="GE34" s="82" t="n"/>
      <c r="GF34" s="82" t="n"/>
      <c r="GG34" s="82" t="n"/>
      <c r="GH34" s="82" t="n"/>
      <c r="GI34" s="82" t="n"/>
      <c r="GJ34" s="82" t="n"/>
      <c r="GK34" s="82" t="n"/>
      <c r="GL34" s="82" t="n"/>
      <c r="GM34" s="82" t="n"/>
      <c r="GN34" s="82" t="n"/>
      <c r="GO34" s="82" t="n"/>
      <c r="GP34" s="82" t="n"/>
      <c r="GQ34" s="82" t="n"/>
      <c r="GR34" s="82" t="n"/>
      <c r="GS34" s="82" t="n"/>
      <c r="GT34" s="82" t="n"/>
      <c r="GU34" s="82" t="n"/>
      <c r="GV34" s="82" t="n"/>
      <c r="GW34" s="82" t="n"/>
      <c r="GX34" s="82" t="n"/>
      <c r="GY34" s="82" t="n"/>
      <c r="GZ34" s="82" t="n"/>
      <c r="HA34" s="82" t="n"/>
      <c r="HB34" s="82" t="n"/>
      <c r="HC34" s="82" t="n"/>
      <c r="HD34" s="82" t="n"/>
      <c r="HE34" s="82" t="n"/>
      <c r="HF34" s="82" t="n"/>
      <c r="HG34" s="82" t="n"/>
      <c r="HH34" s="82" t="n"/>
      <c r="HI34" s="82" t="n"/>
      <c r="HJ34" s="82" t="n"/>
      <c r="HK34" s="82" t="n"/>
      <c r="HL34" s="82" t="n"/>
      <c r="HM34" s="82" t="n"/>
      <c r="HN34" s="82" t="n"/>
      <c r="HO34" s="82" t="n"/>
      <c r="HP34" s="82" t="n"/>
      <c r="HQ34" s="82" t="n"/>
      <c r="HR34" s="82" t="n"/>
      <c r="HS34" s="82" t="n"/>
      <c r="HT34" s="82" t="n"/>
      <c r="HU34" s="82" t="n"/>
      <c r="HV34" s="82" t="n"/>
      <c r="HW34" s="82" t="n"/>
      <c r="HX34" s="82" t="n"/>
      <c r="HY34" s="82" t="n"/>
      <c r="HZ34" s="82" t="n"/>
      <c r="IA34" s="82" t="n"/>
      <c r="IB34" s="82" t="n"/>
      <c r="IC34" s="82" t="n"/>
      <c r="ID34" s="82" t="n"/>
      <c r="IE34" s="82" t="n"/>
      <c r="IF34" s="82" t="n"/>
      <c r="IG34" s="82" t="n"/>
      <c r="IH34" s="82" t="n"/>
      <c r="II34" s="82" t="n"/>
      <c r="IJ34" s="82" t="n"/>
      <c r="IK34" s="82" t="n"/>
      <c r="IL34" s="82" t="n"/>
      <c r="IM34" s="82" t="n"/>
      <c r="IN34" s="82" t="n"/>
      <c r="IO34" s="82" t="n"/>
      <c r="IP34" s="82" t="n"/>
      <c r="IQ34" s="82" t="n"/>
      <c r="IR34" s="82" t="n"/>
      <c r="IS34" s="82" t="n"/>
      <c r="IT34" s="82" t="n"/>
      <c r="IU34" s="82" t="n"/>
      <c r="IV34" s="82" t="n"/>
      <c r="IW34" s="82" t="n"/>
      <c r="IX34" s="82" t="n"/>
      <c r="IY34" s="82" t="n"/>
      <c r="IZ34" s="82" t="n"/>
      <c r="JA34" s="82" t="n"/>
      <c r="JB34" s="82" t="n"/>
      <c r="JC34" s="82" t="n"/>
      <c r="JD34" s="82" t="n"/>
      <c r="JE34" s="82" t="n"/>
      <c r="JF34" s="82" t="n"/>
      <c r="JG34" s="82" t="n"/>
      <c r="JH34" s="82" t="n"/>
      <c r="JI34" s="82" t="n"/>
      <c r="JJ34" s="82" t="n"/>
      <c r="JK34" s="82" t="n"/>
      <c r="JL34" s="82" t="n"/>
      <c r="JM34" s="82" t="n"/>
      <c r="JN34" s="82" t="n"/>
      <c r="JO34" s="82" t="n"/>
      <c r="JP34" s="82" t="n"/>
      <c r="JQ34" s="82" t="n"/>
      <c r="JR34" s="82" t="n"/>
      <c r="JS34" s="82" t="n"/>
      <c r="JT34" s="82" t="n"/>
      <c r="JU34" s="82" t="n"/>
      <c r="JV34" s="82" t="n"/>
      <c r="JW34" s="82" t="n"/>
      <c r="JX34" s="82" t="n"/>
      <c r="JY34" s="82" t="n"/>
      <c r="JZ34" s="82" t="n"/>
      <c r="KA34" s="82" t="n"/>
      <c r="KB34" s="82" t="n"/>
      <c r="KC34" s="82" t="n"/>
      <c r="KD34" s="82" t="n"/>
      <c r="KE34" s="82" t="n"/>
      <c r="KF34" s="82" t="n"/>
      <c r="KG34" s="82" t="n"/>
      <c r="KH34" s="82" t="n"/>
      <c r="KI34" s="82" t="n"/>
      <c r="KJ34" s="82" t="n"/>
      <c r="KK34" s="82" t="n"/>
      <c r="KL34" s="82" t="n"/>
      <c r="KM34" s="82" t="n"/>
      <c r="KN34" s="82" t="n"/>
      <c r="KO34" s="82" t="n"/>
      <c r="KP34" s="82" t="n"/>
      <c r="KQ34" s="82" t="n"/>
      <c r="KR34" s="82" t="n"/>
      <c r="KS34" s="82" t="n"/>
      <c r="KT34" s="82" t="n"/>
      <c r="KU34" s="82" t="n"/>
      <c r="KV34" s="82" t="n"/>
      <c r="KW34" s="82" t="n"/>
      <c r="KX34" s="82" t="n"/>
      <c r="KY34" s="82" t="n"/>
      <c r="KZ34" s="82" t="n"/>
      <c r="LA34" s="82" t="n"/>
      <c r="LB34" s="82" t="n"/>
      <c r="LC34" s="82" t="n"/>
      <c r="LD34" s="82" t="n"/>
      <c r="LE34" s="82" t="n"/>
      <c r="LF34" s="82" t="n"/>
      <c r="LG34" s="82" t="n"/>
      <c r="LH34" s="82" t="n"/>
      <c r="LI34" s="82" t="n"/>
      <c r="LJ34" s="82" t="n"/>
      <c r="LK34" s="82" t="n"/>
      <c r="LL34" s="82" t="n"/>
      <c r="LM34" s="82" t="n"/>
      <c r="LN34" s="82" t="n"/>
      <c r="LO34" s="82" t="n"/>
      <c r="LP34" s="82" t="n"/>
      <c r="LQ34" s="82" t="n"/>
      <c r="LR34" s="82" t="n"/>
      <c r="LS34" s="82" t="n"/>
      <c r="LT34" s="82" t="n"/>
      <c r="LU34" s="82" t="n"/>
      <c r="LV34" s="82" t="n"/>
      <c r="LW34" s="82" t="n"/>
      <c r="LX34" s="82" t="n"/>
      <c r="LY34" s="82" t="n"/>
      <c r="LZ34" s="82" t="n"/>
      <c r="MA34" s="82" t="n"/>
      <c r="MB34" s="82" t="n"/>
      <c r="MC34" s="82" t="n"/>
      <c r="MD34" s="82" t="n"/>
      <c r="ME34" s="82" t="n"/>
      <c r="MF34" s="82" t="n"/>
      <c r="MG34" s="82" t="n"/>
      <c r="MH34" s="82" t="n"/>
      <c r="MI34" s="82" t="n"/>
      <c r="MJ34" s="82" t="n"/>
      <c r="MK34" s="82" t="n"/>
      <c r="ML34" s="82" t="n"/>
      <c r="MM34" s="82" t="n"/>
      <c r="MN34" s="82" t="n"/>
      <c r="MO34" s="82" t="n"/>
      <c r="MP34" s="82" t="n"/>
      <c r="MQ34" s="82" t="n"/>
      <c r="MR34" s="82" t="n"/>
      <c r="MS34" s="82" t="n"/>
      <c r="MT34" s="82" t="n"/>
      <c r="MU34" s="82" t="n"/>
      <c r="MV34" s="82" t="n"/>
      <c r="MW34" s="82" t="n"/>
      <c r="MX34" s="82" t="n"/>
      <c r="MY34" s="82" t="n"/>
      <c r="MZ34" s="82" t="n"/>
      <c r="NA34" s="82" t="n"/>
      <c r="NB34" s="82" t="n"/>
      <c r="NC34" s="82" t="n"/>
      <c r="ND34" s="82" t="n"/>
      <c r="NE34" s="82" t="n"/>
      <c r="NF34" s="82" t="n"/>
      <c r="NG34" s="82" t="n"/>
      <c r="NH34" s="82" t="n"/>
      <c r="NI34" s="82" t="n"/>
      <c r="NJ34" s="82" t="n"/>
      <c r="NK34" s="82" t="n"/>
      <c r="NL34" s="82" t="n"/>
      <c r="NM34" s="82" t="n"/>
      <c r="NN34" s="82" t="n"/>
      <c r="NO34" s="82" t="n"/>
      <c r="NP34" s="82" t="n"/>
      <c r="NQ34" s="82" t="n"/>
      <c r="NR34" s="82" t="n"/>
      <c r="NS34" s="82" t="n"/>
      <c r="NT34" s="82" t="n"/>
      <c r="NU34" s="82" t="n"/>
      <c r="NV34" s="82" t="n"/>
      <c r="NW34" s="82" t="n"/>
      <c r="NX34" s="82" t="n"/>
      <c r="NY34" s="82" t="n"/>
      <c r="NZ34" s="82" t="n"/>
      <c r="OA34" s="82" t="n"/>
      <c r="OB34" s="82" t="n"/>
      <c r="OC34" s="82" t="n"/>
      <c r="OD34" s="82" t="n"/>
      <c r="OE34" s="82" t="n"/>
      <c r="OF34" s="82" t="n"/>
      <c r="OG34" s="82" t="n"/>
      <c r="OH34" s="82" t="n"/>
      <c r="OI34" s="82" t="n"/>
    </row>
    <row r="35" ht="24" customHeight="1" s="799">
      <c r="A35" s="137" t="inlineStr">
        <is>
          <t>Add. Auera Finance</t>
        </is>
      </c>
      <c r="B35" s="119" t="n">
        <v>7380000</v>
      </c>
      <c r="C35" s="119" t="n"/>
      <c r="D35" s="119" t="n"/>
      <c r="E35" s="119" t="n"/>
      <c r="F35" s="119" t="n">
        <v>10000000</v>
      </c>
      <c r="G35" s="119" t="n"/>
      <c r="H35" s="111" t="n"/>
      <c r="I35" s="111" t="n"/>
      <c r="J35" s="111" t="n"/>
      <c r="K35" s="111" t="n"/>
      <c r="L35" s="111" t="n"/>
      <c r="M35" s="119" t="n">
        <v>30000000</v>
      </c>
      <c r="N35" s="119" t="n"/>
      <c r="O35" s="119" t="n"/>
      <c r="P35" s="119" t="n"/>
      <c r="Q35" s="119" t="n"/>
      <c r="R35" s="119" t="n"/>
      <c r="S35" s="119" t="n"/>
      <c r="T35" s="1077" t="n"/>
      <c r="U35" s="1077" t="n"/>
      <c r="V35" s="1077" t="n"/>
      <c r="W35" s="1077" t="n"/>
      <c r="X35" s="1077" t="n"/>
      <c r="Y35" s="1077" t="n"/>
      <c r="Z35" s="1077" t="n"/>
      <c r="AA35" s="122" t="n"/>
      <c r="AB35" s="123" t="n"/>
      <c r="AC35" s="123" t="n"/>
      <c r="AD35" s="295" t="n"/>
      <c r="AE35" s="295" t="n"/>
      <c r="AF35" s="296" t="n"/>
      <c r="AG35" s="269">
        <f>SUM(X35:Z35)</f>
        <v/>
      </c>
      <c r="AI35" s="149" t="n"/>
      <c r="AJ35" s="150" t="n"/>
      <c r="AK35" s="150" t="n"/>
      <c r="AL35" s="150" t="n"/>
      <c r="AM35" s="150" t="n"/>
      <c r="AN35" s="1096" t="n"/>
      <c r="AO35" s="1096" t="n"/>
      <c r="AP35" s="1096" t="n"/>
      <c r="AQ35" s="1096" t="n"/>
      <c r="AR35" s="150" t="n"/>
      <c r="AS35" s="150" t="n"/>
      <c r="AT35" s="150" t="n"/>
      <c r="AU35" s="150" t="n"/>
      <c r="AV35" s="150" t="n"/>
      <c r="AW35" s="142" t="n"/>
      <c r="AX35" s="142" t="n"/>
      <c r="AY35" s="142" t="n"/>
      <c r="AZ35" s="142" t="n"/>
      <c r="BA35" s="142" t="n"/>
      <c r="BB35" s="142" t="n"/>
      <c r="BC35" s="142" t="n"/>
      <c r="BD35" s="142" t="n"/>
      <c r="BE35" s="142" t="n"/>
      <c r="BF35" s="142" t="n"/>
      <c r="BG35" s="142" t="n"/>
      <c r="BH35" s="142" t="n"/>
      <c r="BI35" s="142" t="n"/>
      <c r="BJ35" s="144" t="n"/>
      <c r="BK35" s="144" t="n"/>
      <c r="BL35" s="144" t="n"/>
      <c r="BM35" s="144" t="n"/>
      <c r="BN35" s="144" t="n"/>
      <c r="BO35" s="144" t="n"/>
      <c r="BP35" s="144" t="n"/>
    </row>
    <row r="36" ht="24" customFormat="1" customHeight="1" s="88" thickBot="1">
      <c r="A36" s="112" t="inlineStr">
        <is>
          <t>Total Finance</t>
        </is>
      </c>
      <c r="B36" s="124">
        <f>SUM(B31:B35)</f>
        <v/>
      </c>
      <c r="C36" s="124">
        <f>SUM(C31:C35)</f>
        <v/>
      </c>
      <c r="D36" s="124">
        <f>SUM(D31:D35)</f>
        <v/>
      </c>
      <c r="E36" s="124">
        <f>SUM(E31:E35)</f>
        <v/>
      </c>
      <c r="F36" s="124">
        <f>SUM(F31:F35)</f>
        <v/>
      </c>
      <c r="G36" s="124">
        <f>SUM(G31:G35)</f>
        <v/>
      </c>
      <c r="H36" s="124">
        <f>SUM(H31:H35)</f>
        <v/>
      </c>
      <c r="I36" s="124">
        <f>SUM(I31:I35)</f>
        <v/>
      </c>
      <c r="J36" s="124">
        <f>SUM(J31:J35)</f>
        <v/>
      </c>
      <c r="K36" s="124">
        <f>SUM(K31:K35)</f>
        <v/>
      </c>
      <c r="L36" s="124">
        <f>SUM(L31:L35)</f>
        <v/>
      </c>
      <c r="M36" s="124">
        <f>SUM(M31:M35)</f>
        <v/>
      </c>
      <c r="N36" s="124">
        <f>SUM(N31:N35)</f>
        <v/>
      </c>
      <c r="O36" s="124">
        <f>SUM(O31:O35)</f>
        <v/>
      </c>
      <c r="P36" s="124">
        <f>SUM(P31:P35)</f>
        <v/>
      </c>
      <c r="Q36" s="124">
        <f>SUM(Q31:Q35)</f>
        <v/>
      </c>
      <c r="R36" s="124">
        <f>SUM(R31:R35)</f>
        <v/>
      </c>
      <c r="S36" s="124">
        <f>SUM(S31:S35)</f>
        <v/>
      </c>
      <c r="T36" s="125">
        <f>SUM(T31:T35)</f>
        <v/>
      </c>
      <c r="U36" s="125">
        <f>SUM(U31:U35)</f>
        <v/>
      </c>
      <c r="V36" s="125">
        <f>SUM(V31:V35)</f>
        <v/>
      </c>
      <c r="W36" s="125">
        <f>SUM(W31:W35)</f>
        <v/>
      </c>
      <c r="X36" s="125">
        <f>SUM(X31:X35)</f>
        <v/>
      </c>
      <c r="Y36" s="125">
        <f>SUM(Y31:Y35)</f>
        <v/>
      </c>
      <c r="Z36" s="125">
        <f>SUM(Z31:Z35)</f>
        <v/>
      </c>
      <c r="AA36" s="125">
        <f>SUM(AA31:AA35)</f>
        <v/>
      </c>
      <c r="AB36" s="125">
        <f>SUM(AB31:AB35)</f>
        <v/>
      </c>
      <c r="AC36" s="259">
        <f>SUM(AC31:AC35)</f>
        <v/>
      </c>
      <c r="AD36" s="297">
        <f>SUM(AD31:AD35)</f>
        <v/>
      </c>
      <c r="AE36" s="297">
        <f>SUM(AE31:AE35)</f>
        <v/>
      </c>
      <c r="AF36" s="298" t="n"/>
      <c r="AG36" s="270">
        <f>SUM(AG31:AG35)</f>
        <v/>
      </c>
      <c r="AH36" s="93" t="n"/>
      <c r="AI36" s="149" t="n"/>
      <c r="AJ36" s="150" t="n"/>
      <c r="AK36" s="150" t="n"/>
      <c r="AL36" s="150" t="n"/>
      <c r="AM36" s="150" t="n"/>
      <c r="AN36" s="150" t="n"/>
      <c r="AO36" s="150" t="n"/>
      <c r="AP36" s="150" t="n"/>
      <c r="AQ36" s="150" t="n"/>
      <c r="AR36" s="150" t="n"/>
      <c r="AS36" s="150" t="n"/>
      <c r="AT36" s="150" t="n"/>
      <c r="AU36" s="150" t="n"/>
      <c r="AV36" s="150" t="n"/>
      <c r="AW36" s="142" t="n"/>
      <c r="AX36" s="142" t="n"/>
      <c r="AY36" s="142" t="n"/>
      <c r="AZ36" s="142" t="n"/>
      <c r="BA36" s="142" t="n"/>
      <c r="BB36" s="142" t="n"/>
      <c r="BC36" s="142" t="n"/>
      <c r="BD36" s="142" t="n"/>
      <c r="BE36" s="142" t="n"/>
      <c r="BF36" s="142" t="n"/>
      <c r="BG36" s="142" t="n"/>
      <c r="BH36" s="142" t="n"/>
      <c r="BI36" s="142" t="n"/>
      <c r="BJ36" s="143" t="n"/>
      <c r="BK36" s="143" t="n"/>
      <c r="BL36" s="143" t="n"/>
      <c r="BM36" s="143" t="n"/>
      <c r="BN36" s="143" t="n"/>
      <c r="BO36" s="143" t="n"/>
      <c r="BP36" s="143" t="n"/>
      <c r="BQ36" s="93" t="n"/>
      <c r="BR36" s="93" t="n"/>
      <c r="BS36" s="93" t="n"/>
      <c r="BT36" s="93" t="n"/>
      <c r="BU36" s="93" t="n"/>
      <c r="BV36" s="93" t="n"/>
      <c r="BW36" s="93" t="n"/>
      <c r="BX36" s="93" t="n"/>
      <c r="BY36" s="93" t="n"/>
      <c r="BZ36" s="93" t="n"/>
      <c r="CA36" s="93" t="n"/>
      <c r="CB36" s="93" t="n"/>
      <c r="CC36" s="93" t="n"/>
      <c r="CD36" s="93" t="n"/>
      <c r="CE36" s="93" t="n"/>
      <c r="CF36" s="93" t="n"/>
      <c r="CG36" s="93" t="n"/>
      <c r="CH36" s="93" t="n"/>
      <c r="CI36" s="93" t="n"/>
      <c r="CJ36" s="93" t="n"/>
      <c r="CK36" s="93" t="n"/>
      <c r="CL36" s="93" t="n"/>
      <c r="CM36" s="93" t="n"/>
      <c r="CN36" s="93" t="n"/>
      <c r="CO36" s="93" t="n"/>
      <c r="CP36" s="93" t="n"/>
      <c r="CQ36" s="93" t="n"/>
      <c r="CR36" s="93" t="n"/>
      <c r="CS36" s="93" t="n"/>
      <c r="CT36" s="93" t="n"/>
      <c r="CU36" s="93" t="n"/>
      <c r="CV36" s="93" t="n"/>
      <c r="CW36" s="93" t="n"/>
      <c r="CX36" s="93" t="n"/>
      <c r="CY36" s="93" t="n"/>
      <c r="CZ36" s="93" t="n"/>
      <c r="DA36" s="93" t="n"/>
      <c r="DB36" s="93" t="n"/>
      <c r="DC36" s="93" t="n"/>
      <c r="DD36" s="93" t="n"/>
      <c r="DE36" s="93" t="n"/>
      <c r="DF36" s="93" t="n"/>
      <c r="DG36" s="93" t="n"/>
      <c r="DH36" s="93" t="n"/>
      <c r="DI36" s="93" t="n"/>
      <c r="DJ36" s="93" t="n"/>
      <c r="DK36" s="93" t="n"/>
      <c r="DL36" s="93" t="n"/>
      <c r="DM36" s="93" t="n"/>
      <c r="DN36" s="93" t="n"/>
      <c r="DO36" s="93" t="n"/>
      <c r="DP36" s="93" t="n"/>
      <c r="DQ36" s="93" t="n"/>
      <c r="DR36" s="93" t="n"/>
      <c r="DS36" s="93" t="n"/>
      <c r="DT36" s="93" t="n"/>
      <c r="DU36" s="93" t="n"/>
      <c r="DV36" s="93" t="n"/>
      <c r="DW36" s="93" t="n"/>
      <c r="DX36" s="93" t="n"/>
      <c r="DY36" s="93" t="n"/>
      <c r="DZ36" s="93" t="n"/>
      <c r="EA36" s="93" t="n"/>
      <c r="EB36" s="93" t="n"/>
      <c r="EC36" s="93" t="n"/>
      <c r="ED36" s="93" t="n"/>
      <c r="EE36" s="93" t="n"/>
      <c r="EF36" s="93" t="n"/>
      <c r="EG36" s="93" t="n"/>
      <c r="EH36" s="93" t="n"/>
      <c r="EI36" s="93" t="n"/>
      <c r="EJ36" s="93" t="n"/>
      <c r="EK36" s="93" t="n"/>
      <c r="EL36" s="93" t="n"/>
      <c r="EM36" s="93" t="n"/>
      <c r="EN36" s="93" t="n"/>
      <c r="EO36" s="93" t="n"/>
      <c r="EP36" s="93" t="n"/>
      <c r="EQ36" s="93" t="n"/>
      <c r="ER36" s="93" t="n"/>
      <c r="ES36" s="93" t="n"/>
      <c r="ET36" s="93" t="n"/>
      <c r="EU36" s="93" t="n"/>
      <c r="EV36" s="93" t="n"/>
      <c r="EW36" s="93" t="n"/>
      <c r="EX36" s="93" t="n"/>
      <c r="EY36" s="93" t="n"/>
      <c r="EZ36" s="93" t="n"/>
      <c r="FA36" s="93" t="n"/>
      <c r="FB36" s="93" t="n"/>
      <c r="FC36" s="93" t="n"/>
      <c r="FD36" s="93" t="n"/>
      <c r="FE36" s="93" t="n"/>
      <c r="FF36" s="93" t="n"/>
      <c r="FG36" s="93" t="n"/>
      <c r="FH36" s="93" t="n"/>
      <c r="FI36" s="93" t="n"/>
      <c r="FJ36" s="93" t="n"/>
      <c r="FK36" s="93" t="n"/>
      <c r="FL36" s="93" t="n"/>
      <c r="FM36" s="93" t="n"/>
      <c r="FN36" s="93" t="n"/>
      <c r="FO36" s="93" t="n"/>
      <c r="FP36" s="93" t="n"/>
      <c r="FQ36" s="93" t="n"/>
      <c r="FR36" s="93" t="n"/>
      <c r="FS36" s="93" t="n"/>
      <c r="FT36" s="93" t="n"/>
      <c r="FU36" s="93" t="n"/>
      <c r="FV36" s="93" t="n"/>
      <c r="FW36" s="93" t="n"/>
      <c r="FX36" s="93" t="n"/>
      <c r="FY36" s="93" t="n"/>
      <c r="FZ36" s="93" t="n"/>
      <c r="GA36" s="93" t="n"/>
      <c r="GB36" s="93" t="n"/>
      <c r="GC36" s="93" t="n"/>
      <c r="GD36" s="93" t="n"/>
      <c r="GE36" s="93" t="n"/>
      <c r="GF36" s="93" t="n"/>
      <c r="GG36" s="93" t="n"/>
      <c r="GH36" s="93" t="n"/>
      <c r="GI36" s="93" t="n"/>
      <c r="GJ36" s="93" t="n"/>
      <c r="GK36" s="93" t="n"/>
      <c r="GL36" s="93" t="n"/>
      <c r="GM36" s="93" t="n"/>
      <c r="GN36" s="93" t="n"/>
      <c r="GO36" s="93" t="n"/>
      <c r="GP36" s="93" t="n"/>
      <c r="GQ36" s="93" t="n"/>
      <c r="GR36" s="93" t="n"/>
      <c r="GS36" s="93" t="n"/>
      <c r="GT36" s="93" t="n"/>
      <c r="GU36" s="93" t="n"/>
      <c r="GV36" s="93" t="n"/>
      <c r="GW36" s="93" t="n"/>
      <c r="GX36" s="93" t="n"/>
      <c r="GY36" s="93" t="n"/>
      <c r="GZ36" s="93" t="n"/>
      <c r="HA36" s="93" t="n"/>
      <c r="HB36" s="93" t="n"/>
      <c r="HC36" s="93" t="n"/>
      <c r="HD36" s="93" t="n"/>
      <c r="HE36" s="93" t="n"/>
      <c r="HF36" s="93" t="n"/>
      <c r="HG36" s="93" t="n"/>
      <c r="HH36" s="93" t="n"/>
      <c r="HI36" s="93" t="n"/>
      <c r="HJ36" s="93" t="n"/>
      <c r="HK36" s="93" t="n"/>
      <c r="HL36" s="93" t="n"/>
      <c r="HM36" s="93" t="n"/>
      <c r="HN36" s="93" t="n"/>
      <c r="HO36" s="93" t="n"/>
      <c r="HP36" s="93" t="n"/>
      <c r="HQ36" s="93" t="n"/>
      <c r="HR36" s="93" t="n"/>
      <c r="HS36" s="93" t="n"/>
      <c r="HT36" s="93" t="n"/>
      <c r="HU36" s="93" t="n"/>
      <c r="HV36" s="93" t="n"/>
      <c r="HW36" s="93" t="n"/>
      <c r="HX36" s="93" t="n"/>
      <c r="HY36" s="93" t="n"/>
      <c r="HZ36" s="93" t="n"/>
      <c r="IA36" s="93" t="n"/>
      <c r="IB36" s="93" t="n"/>
      <c r="IC36" s="93" t="n"/>
      <c r="ID36" s="93" t="n"/>
      <c r="IE36" s="93" t="n"/>
      <c r="IF36" s="93" t="n"/>
      <c r="IG36" s="93" t="n"/>
      <c r="IH36" s="93" t="n"/>
      <c r="II36" s="93" t="n"/>
      <c r="IJ36" s="93" t="n"/>
      <c r="IK36" s="93" t="n"/>
      <c r="IL36" s="93" t="n"/>
      <c r="IM36" s="93" t="n"/>
      <c r="IN36" s="93" t="n"/>
      <c r="IO36" s="93" t="n"/>
      <c r="IP36" s="93" t="n"/>
      <c r="IQ36" s="93" t="n"/>
      <c r="IR36" s="93" t="n"/>
      <c r="IS36" s="93" t="n"/>
      <c r="IT36" s="93" t="n"/>
      <c r="IU36" s="93" t="n"/>
      <c r="IV36" s="93" t="n"/>
      <c r="IW36" s="93" t="n"/>
      <c r="IX36" s="93" t="n"/>
      <c r="IY36" s="93" t="n"/>
      <c r="IZ36" s="93" t="n"/>
      <c r="JA36" s="93" t="n"/>
      <c r="JB36" s="93" t="n"/>
      <c r="JC36" s="93" t="n"/>
      <c r="JD36" s="93" t="n"/>
      <c r="JE36" s="93" t="n"/>
      <c r="JF36" s="93" t="n"/>
      <c r="JG36" s="93" t="n"/>
      <c r="JH36" s="93" t="n"/>
      <c r="JI36" s="93" t="n"/>
      <c r="JJ36" s="93" t="n"/>
      <c r="JK36" s="93" t="n"/>
      <c r="JL36" s="93" t="n"/>
      <c r="JM36" s="93" t="n"/>
      <c r="JN36" s="93" t="n"/>
      <c r="JO36" s="93" t="n"/>
      <c r="JP36" s="93" t="n"/>
      <c r="JQ36" s="93" t="n"/>
      <c r="JR36" s="93" t="n"/>
      <c r="JS36" s="93" t="n"/>
      <c r="JT36" s="93" t="n"/>
      <c r="JU36" s="93" t="n"/>
      <c r="JV36" s="93" t="n"/>
      <c r="JW36" s="93" t="n"/>
      <c r="JX36" s="93" t="n"/>
      <c r="JY36" s="93" t="n"/>
      <c r="JZ36" s="93" t="n"/>
      <c r="KA36" s="93" t="n"/>
      <c r="KB36" s="93" t="n"/>
      <c r="KC36" s="93" t="n"/>
      <c r="KD36" s="93" t="n"/>
      <c r="KE36" s="93" t="n"/>
      <c r="KF36" s="93" t="n"/>
      <c r="KG36" s="93" t="n"/>
      <c r="KH36" s="93" t="n"/>
      <c r="KI36" s="93" t="n"/>
      <c r="KJ36" s="93" t="n"/>
      <c r="KK36" s="93" t="n"/>
      <c r="KL36" s="93" t="n"/>
      <c r="KM36" s="93" t="n"/>
      <c r="KN36" s="93" t="n"/>
      <c r="KO36" s="93" t="n"/>
      <c r="KP36" s="93" t="n"/>
      <c r="KQ36" s="93" t="n"/>
      <c r="KR36" s="93" t="n"/>
      <c r="KS36" s="93" t="n"/>
      <c r="KT36" s="93" t="n"/>
      <c r="KU36" s="93" t="n"/>
      <c r="KV36" s="93" t="n"/>
      <c r="KW36" s="93" t="n"/>
      <c r="KX36" s="93" t="n"/>
      <c r="KY36" s="93" t="n"/>
      <c r="KZ36" s="93" t="n"/>
      <c r="LA36" s="93" t="n"/>
      <c r="LB36" s="93" t="n"/>
      <c r="LC36" s="93" t="n"/>
      <c r="LD36" s="93" t="n"/>
      <c r="LE36" s="93" t="n"/>
      <c r="LF36" s="93" t="n"/>
      <c r="LG36" s="93" t="n"/>
      <c r="LH36" s="93" t="n"/>
      <c r="LI36" s="93" t="n"/>
      <c r="LJ36" s="93" t="n"/>
      <c r="LK36" s="93" t="n"/>
      <c r="LL36" s="93" t="n"/>
      <c r="LM36" s="93" t="n"/>
      <c r="LN36" s="93" t="n"/>
      <c r="LO36" s="93" t="n"/>
      <c r="LP36" s="93" t="n"/>
      <c r="LQ36" s="93" t="n"/>
      <c r="LR36" s="93" t="n"/>
      <c r="LS36" s="93" t="n"/>
      <c r="LT36" s="93" t="n"/>
      <c r="LU36" s="93" t="n"/>
      <c r="LV36" s="93" t="n"/>
      <c r="LW36" s="93" t="n"/>
      <c r="LX36" s="93" t="n"/>
      <c r="LY36" s="93" t="n"/>
      <c r="LZ36" s="93" t="n"/>
      <c r="MA36" s="93" t="n"/>
      <c r="MB36" s="93" t="n"/>
      <c r="MC36" s="93" t="n"/>
      <c r="MD36" s="93" t="n"/>
      <c r="ME36" s="93" t="n"/>
      <c r="MF36" s="93" t="n"/>
      <c r="MG36" s="93" t="n"/>
      <c r="MH36" s="93" t="n"/>
      <c r="MI36" s="93" t="n"/>
      <c r="MJ36" s="93" t="n"/>
      <c r="MK36" s="93" t="n"/>
      <c r="ML36" s="93" t="n"/>
      <c r="MM36" s="93" t="n"/>
      <c r="MN36" s="93" t="n"/>
      <c r="MO36" s="93" t="n"/>
      <c r="MP36" s="93" t="n"/>
      <c r="MQ36" s="93" t="n"/>
      <c r="MR36" s="93" t="n"/>
      <c r="MS36" s="93" t="n"/>
      <c r="MT36" s="93" t="n"/>
      <c r="MU36" s="93" t="n"/>
      <c r="MV36" s="93" t="n"/>
      <c r="MW36" s="93" t="n"/>
      <c r="MX36" s="93" t="n"/>
      <c r="MY36" s="93" t="n"/>
      <c r="MZ36" s="93" t="n"/>
      <c r="NA36" s="93" t="n"/>
      <c r="NB36" s="93" t="n"/>
      <c r="NC36" s="93" t="n"/>
      <c r="ND36" s="93" t="n"/>
      <c r="NE36" s="93" t="n"/>
      <c r="NF36" s="93" t="n"/>
      <c r="NG36" s="93" t="n"/>
      <c r="NH36" s="93" t="n"/>
      <c r="NI36" s="93" t="n"/>
      <c r="NJ36" s="93" t="n"/>
      <c r="NK36" s="93" t="n"/>
      <c r="NL36" s="93" t="n"/>
      <c r="NM36" s="93" t="n"/>
      <c r="NN36" s="93" t="n"/>
      <c r="NO36" s="93" t="n"/>
      <c r="NP36" s="93" t="n"/>
      <c r="NQ36" s="93" t="n"/>
      <c r="NR36" s="93" t="n"/>
      <c r="NS36" s="93" t="n"/>
      <c r="NT36" s="93" t="n"/>
      <c r="NU36" s="93" t="n"/>
      <c r="NV36" s="93" t="n"/>
      <c r="NW36" s="93" t="n"/>
      <c r="NX36" s="93" t="n"/>
      <c r="NY36" s="93" t="n"/>
      <c r="NZ36" s="93" t="n"/>
      <c r="OA36" s="93" t="n"/>
      <c r="OB36" s="93" t="n"/>
      <c r="OC36" s="93" t="n"/>
      <c r="OD36" s="93" t="n"/>
      <c r="OE36" s="93" t="n"/>
      <c r="OF36" s="93" t="n"/>
      <c r="OG36" s="93" t="n"/>
      <c r="OH36" s="93" t="n"/>
      <c r="OI36" s="93" t="n"/>
    </row>
    <row r="37" ht="24" customFormat="1" customHeight="1" s="93" thickBot="1">
      <c r="A37" s="126" t="n"/>
      <c r="B37" s="127" t="n"/>
      <c r="C37" s="127" t="n"/>
      <c r="D37" s="127" t="n"/>
      <c r="E37" s="127" t="n"/>
      <c r="F37" s="127" t="n"/>
      <c r="G37" s="127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297" t="n"/>
      <c r="AE37" s="299" t="n"/>
      <c r="AF37" s="300" t="n"/>
      <c r="AG37" s="271" t="n"/>
      <c r="AI37" s="149" t="n"/>
      <c r="AJ37" s="150" t="n"/>
      <c r="AK37" s="150" t="n"/>
      <c r="AL37" s="150" t="n"/>
      <c r="AM37" s="150" t="n"/>
      <c r="AN37" s="150" t="n"/>
      <c r="AO37" s="150" t="n"/>
      <c r="AP37" s="150" t="n"/>
      <c r="AQ37" s="150" t="n"/>
      <c r="AR37" s="150" t="n"/>
      <c r="AS37" s="150" t="n"/>
      <c r="AT37" s="150" t="n"/>
      <c r="AU37" s="150" t="n"/>
      <c r="AV37" s="150" t="n"/>
      <c r="AW37" s="142" t="n"/>
      <c r="AX37" s="142" t="n"/>
      <c r="AY37" s="142" t="n"/>
      <c r="AZ37" s="142" t="n"/>
      <c r="BA37" s="142" t="n"/>
      <c r="BB37" s="142" t="n"/>
      <c r="BC37" s="142" t="n"/>
      <c r="BD37" s="142" t="n"/>
      <c r="BE37" s="142" t="n"/>
      <c r="BF37" s="142" t="n"/>
      <c r="BG37" s="142" t="n"/>
      <c r="BH37" s="142" t="n"/>
      <c r="BI37" s="142" t="n"/>
      <c r="BJ37" s="143" t="n"/>
      <c r="BK37" s="143" t="n"/>
      <c r="BL37" s="143" t="n"/>
      <c r="BM37" s="143" t="n"/>
      <c r="BN37" s="143" t="n"/>
      <c r="BO37" s="143" t="n"/>
      <c r="BP37" s="143" t="n"/>
    </row>
    <row r="38" ht="24" customHeight="1" s="799" thickBot="1">
      <c r="A38" s="130" t="inlineStr">
        <is>
          <t>Balance at the end of period</t>
        </is>
      </c>
      <c r="B38" s="1126">
        <f>B6+B28+B36</f>
        <v/>
      </c>
      <c r="C38" s="1126">
        <f>C6+C28+C36</f>
        <v/>
      </c>
      <c r="D38" s="1126">
        <f>D6+D28+D36</f>
        <v/>
      </c>
      <c r="E38" s="1126">
        <f>E6+E28+E36</f>
        <v/>
      </c>
      <c r="F38" s="1126">
        <f>F6+F28+F36</f>
        <v/>
      </c>
      <c r="G38" s="1126">
        <f>G6+G28+G36</f>
        <v/>
      </c>
      <c r="H38" s="1126">
        <f>H6+H28+H36</f>
        <v/>
      </c>
      <c r="I38" s="1126">
        <f>I6+I28+I36</f>
        <v/>
      </c>
      <c r="J38" s="1126">
        <f>J6+J28+J36</f>
        <v/>
      </c>
      <c r="K38" s="1126">
        <f>K6+K28+K36</f>
        <v/>
      </c>
      <c r="L38" s="1126">
        <f>L6+L28+L36</f>
        <v/>
      </c>
      <c r="M38" s="1126">
        <f>M6+M28+M36</f>
        <v/>
      </c>
      <c r="N38" s="1126">
        <f>N6+N28+N36</f>
        <v/>
      </c>
      <c r="O38" s="1126">
        <f>O6+O28+O36</f>
        <v/>
      </c>
      <c r="P38" s="1126">
        <f>P6+P28+P36</f>
        <v/>
      </c>
      <c r="Q38" s="1126">
        <f>Q6+Q28+Q36</f>
        <v/>
      </c>
      <c r="R38" s="1126">
        <f>R6+R28+R36</f>
        <v/>
      </c>
      <c r="S38" s="1126">
        <f>S6+S28+S36</f>
        <v/>
      </c>
      <c r="T38" s="1126">
        <f>T6+T28+T36</f>
        <v/>
      </c>
      <c r="U38" s="1126">
        <f>U6+U28+U36</f>
        <v/>
      </c>
      <c r="V38" s="1126">
        <f>V6+V28+V36</f>
        <v/>
      </c>
      <c r="W38" s="1126">
        <f>W6+W28+W36</f>
        <v/>
      </c>
      <c r="X38" s="1126">
        <f>X6+X28+X36</f>
        <v/>
      </c>
      <c r="Y38" s="1126">
        <f>Y6+Y28+Y36</f>
        <v/>
      </c>
      <c r="Z38" s="1126">
        <f>Z6+Z28+Z36</f>
        <v/>
      </c>
      <c r="AA38" s="1127">
        <f>AA6+AA28+AA36</f>
        <v/>
      </c>
      <c r="AB38" s="1127">
        <f>AB6+AB28+AB36</f>
        <v/>
      </c>
      <c r="AC38" s="1128">
        <f>AC6+AC28+AC36</f>
        <v/>
      </c>
      <c r="AD38" s="1128">
        <f>AD6+AD28+AD36</f>
        <v/>
      </c>
      <c r="AE38" s="1128">
        <f>AE6+AE28+AE36</f>
        <v/>
      </c>
      <c r="AF38" s="1129" t="n"/>
      <c r="AG38" s="1130">
        <f>AG6+AG28+AG36</f>
        <v/>
      </c>
      <c r="AI38" s="149" t="n"/>
      <c r="AJ38" s="150" t="n"/>
      <c r="AK38" s="150" t="n"/>
      <c r="AL38" s="150" t="n"/>
      <c r="AM38" s="150" t="n"/>
      <c r="AN38" s="150" t="n"/>
      <c r="AO38" s="150" t="n"/>
      <c r="AP38" s="150" t="n"/>
      <c r="AQ38" s="150" t="n"/>
      <c r="AR38" s="150" t="n"/>
      <c r="AS38" s="150" t="n"/>
      <c r="AT38" s="150" t="n"/>
      <c r="AU38" s="150" t="n"/>
      <c r="AV38" s="150" t="n"/>
      <c r="AW38" s="142" t="n"/>
      <c r="AX38" s="142" t="n"/>
      <c r="AY38" s="142" t="n"/>
      <c r="AZ38" s="142" t="n"/>
      <c r="BA38" s="142" t="n"/>
      <c r="BB38" s="142" t="n"/>
      <c r="BC38" s="142" t="n"/>
      <c r="BD38" s="142" t="n"/>
      <c r="BE38" s="142" t="n"/>
      <c r="BF38" s="142" t="n"/>
      <c r="BG38" s="142" t="n"/>
      <c r="BH38" s="142" t="n"/>
      <c r="BI38" s="142" t="n"/>
      <c r="BJ38" s="144" t="n"/>
      <c r="BK38" s="144" t="n"/>
      <c r="BL38" s="144" t="n"/>
      <c r="BM38" s="144" t="n"/>
      <c r="BN38" s="144" t="n"/>
      <c r="BO38" s="144" t="n"/>
      <c r="BP38" s="144" t="n"/>
    </row>
    <row r="39" ht="24" customHeight="1" s="799">
      <c r="AI39" s="145" t="n"/>
      <c r="AJ39" s="141" t="n"/>
      <c r="AK39" s="150" t="n"/>
      <c r="AL39" s="150" t="n"/>
      <c r="AM39" s="150" t="n"/>
      <c r="AN39" s="150" t="n"/>
      <c r="AO39" s="150" t="n"/>
      <c r="AP39" s="150" t="n"/>
      <c r="AQ39" s="150" t="n"/>
      <c r="AR39" s="141" t="n"/>
      <c r="AS39" s="141" t="n"/>
      <c r="AT39" s="141" t="n"/>
      <c r="AU39" s="141" t="n"/>
      <c r="AV39" s="144" t="n"/>
      <c r="AW39" s="144" t="n"/>
      <c r="AX39" s="144" t="n"/>
      <c r="AY39" s="144" t="n"/>
      <c r="AZ39" s="144" t="n"/>
      <c r="BA39" s="144" t="n"/>
      <c r="BB39" s="144" t="n"/>
      <c r="BC39" s="144" t="n"/>
      <c r="BD39" s="144" t="n"/>
      <c r="BE39" s="144" t="n"/>
      <c r="BF39" s="144" t="n"/>
      <c r="BG39" s="144" t="n"/>
      <c r="BH39" s="144" t="n"/>
      <c r="BI39" s="144" t="n"/>
      <c r="BJ39" s="144" t="n"/>
      <c r="BK39" s="144" t="n"/>
      <c r="BL39" s="144" t="n"/>
      <c r="BM39" s="144" t="n"/>
      <c r="BN39" s="144" t="n"/>
      <c r="BO39" s="144" t="n"/>
      <c r="BP39" s="144" t="n"/>
    </row>
    <row r="40" ht="24" customHeight="1" s="799">
      <c r="A40" s="82" t="inlineStr">
        <is>
          <t>Comments</t>
        </is>
      </c>
      <c r="B40" s="133" t="inlineStr">
        <is>
          <t>MOHG marketing licence Fee 3,945 mio EUR due in Dec 2025 after handover of the apartments - not included in this CF!</t>
        </is>
      </c>
      <c r="C40" s="82" t="n"/>
      <c r="D40" s="82" t="n"/>
      <c r="E40" s="82" t="n"/>
      <c r="F40" s="82" t="n"/>
      <c r="G40" s="8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02" t="n"/>
      <c r="AB40" s="302" t="n"/>
      <c r="AC40" s="302" t="n"/>
      <c r="AI40" s="145" t="n"/>
      <c r="AJ40" s="141" t="n"/>
      <c r="AK40" s="141" t="n"/>
      <c r="AL40" s="141" t="n"/>
      <c r="AM40" s="141" t="n"/>
      <c r="AN40" s="141" t="n"/>
      <c r="AO40" s="141" t="n"/>
      <c r="AP40" s="141" t="n"/>
      <c r="AQ40" s="141" t="n"/>
      <c r="AR40" s="141" t="n"/>
      <c r="AS40" s="141" t="n"/>
      <c r="AT40" s="141" t="n"/>
      <c r="AU40" s="141" t="n"/>
      <c r="AV40" s="144" t="n"/>
      <c r="AW40" s="144" t="n"/>
      <c r="AX40" s="144" t="n"/>
      <c r="AY40" s="144" t="n"/>
      <c r="AZ40" s="144" t="n"/>
      <c r="BA40" s="144" t="n"/>
      <c r="BB40" s="144" t="n"/>
      <c r="BC40" s="144" t="n"/>
      <c r="BD40" s="144" t="n"/>
      <c r="BE40" s="144" t="n"/>
      <c r="BF40" s="144" t="n"/>
      <c r="BG40" s="144" t="n"/>
      <c r="BH40" s="144" t="n"/>
      <c r="BI40" s="144" t="n"/>
      <c r="BJ40" s="144" t="n"/>
      <c r="BK40" s="144" t="n"/>
      <c r="BL40" s="144" t="n"/>
      <c r="BM40" s="144" t="n"/>
      <c r="BN40" s="144" t="n"/>
      <c r="BO40" s="144" t="n"/>
      <c r="BP40" s="144" t="n"/>
    </row>
    <row r="41" ht="24" customHeight="1" s="799">
      <c r="B41" s="133" t="inlineStr">
        <is>
          <t>registration mortage Fee 2,0 mio EUR is not included - unclear when court decicion will occur</t>
        </is>
      </c>
      <c r="L41" s="133" t="n"/>
      <c r="S41" s="123" t="n"/>
      <c r="AI41" s="146" t="n"/>
      <c r="AJ41" s="144" t="n"/>
      <c r="AK41" s="141" t="n"/>
      <c r="AL41" s="141" t="n"/>
      <c r="AM41" s="141" t="n"/>
      <c r="AN41" s="141" t="n"/>
      <c r="AO41" s="141" t="n"/>
      <c r="AP41" s="141" t="n"/>
      <c r="AQ41" s="141" t="n"/>
      <c r="AR41" s="144" t="n"/>
      <c r="AS41" s="144" t="n"/>
      <c r="AT41" s="144" t="n"/>
      <c r="AU41" s="144" t="n"/>
      <c r="AV41" s="144" t="n"/>
      <c r="AW41" s="144" t="n"/>
      <c r="AX41" s="144" t="n"/>
      <c r="AY41" s="144" t="n"/>
      <c r="AZ41" s="144" t="n"/>
      <c r="BA41" s="144" t="n"/>
      <c r="BB41" s="144" t="n"/>
      <c r="BC41" s="144" t="n"/>
      <c r="BD41" s="144" t="n"/>
      <c r="BE41" s="144" t="n"/>
      <c r="BF41" s="144" t="n"/>
      <c r="BG41" s="144" t="n"/>
      <c r="BH41" s="144" t="n"/>
      <c r="BI41" s="144" t="n"/>
      <c r="BJ41" s="144" t="n"/>
      <c r="BK41" s="144" t="n"/>
      <c r="BL41" s="144" t="n"/>
      <c r="BM41" s="144" t="n"/>
      <c r="BN41" s="144" t="n"/>
      <c r="BO41" s="144" t="n"/>
      <c r="BP41" s="144" t="n"/>
    </row>
    <row r="42" ht="24" customHeight="1" s="799">
      <c r="B42" s="133" t="inlineStr">
        <is>
          <t>Hagenauer replacement cost for Hotel are not assessed yet</t>
        </is>
      </c>
      <c r="L42" s="133" t="n"/>
      <c r="V42" s="82" t="inlineStr">
        <is>
          <t xml:space="preserve">  </t>
        </is>
      </c>
      <c r="AI42" s="146" t="n"/>
      <c r="AJ42" s="144" t="n"/>
      <c r="AK42" s="144" t="n"/>
      <c r="AL42" s="144" t="n"/>
      <c r="AM42" s="144" t="n"/>
      <c r="AN42" s="144" t="n"/>
      <c r="AO42" s="144" t="n"/>
      <c r="AP42" s="144" t="n"/>
      <c r="AQ42" s="144" t="n"/>
      <c r="AR42" s="144" t="n"/>
      <c r="AS42" s="144" t="n"/>
      <c r="AT42" s="144" t="n"/>
      <c r="AU42" s="144" t="n"/>
      <c r="AV42" s="144" t="n"/>
      <c r="AW42" s="144" t="n"/>
      <c r="AX42" s="144" t="n"/>
      <c r="AY42" s="144" t="n"/>
      <c r="AZ42" s="144" t="n"/>
      <c r="BA42" s="144" t="n"/>
      <c r="BB42" s="144" t="n"/>
      <c r="BC42" s="144" t="n"/>
      <c r="BD42" s="144" t="n"/>
      <c r="BE42" s="144" t="n"/>
      <c r="BF42" s="144" t="n"/>
      <c r="BG42" s="144" t="n"/>
      <c r="BH42" s="144" t="n"/>
      <c r="BI42" s="144" t="n"/>
      <c r="BJ42" s="144" t="n"/>
      <c r="BK42" s="144" t="n"/>
      <c r="BL42" s="144" t="n"/>
      <c r="BM42" s="144" t="n"/>
      <c r="BN42" s="144" t="n"/>
      <c r="BO42" s="144" t="n"/>
      <c r="BP42" s="144" t="n"/>
    </row>
    <row r="43" ht="24" customHeight="1" s="799">
      <c r="B43" s="133" t="n"/>
      <c r="L43" s="133" t="n"/>
      <c r="AI43" s="146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  <c r="BD43" s="144" t="n"/>
      <c r="BE43" s="144" t="n"/>
      <c r="BF43" s="144" t="n"/>
      <c r="BG43" s="144" t="n"/>
      <c r="BH43" s="144" t="n"/>
      <c r="BI43" s="144" t="n"/>
      <c r="BJ43" s="144" t="n"/>
      <c r="BK43" s="144" t="n"/>
      <c r="BL43" s="144" t="n"/>
      <c r="BM43" s="144" t="n"/>
      <c r="BN43" s="144" t="n"/>
      <c r="BO43" s="144" t="n"/>
      <c r="BP43" s="144" t="n"/>
    </row>
    <row r="44" ht="24" customHeight="1" s="799">
      <c r="I44" s="1131" t="n"/>
      <c r="J44" s="1131" t="n"/>
      <c r="K44" s="1131" t="n"/>
      <c r="L44" s="133" t="n"/>
      <c r="M44" s="1131" t="n"/>
      <c r="N44" s="1131" t="n"/>
      <c r="O44" s="1131" t="n"/>
      <c r="P44" s="1131" t="n"/>
      <c r="Q44" s="1131" t="n"/>
      <c r="R44" s="1131" t="n"/>
      <c r="S44" s="1131" t="n"/>
      <c r="T44" s="1131" t="n"/>
      <c r="U44" s="1131" t="n"/>
      <c r="V44" s="1131" t="n"/>
      <c r="W44" s="1131" t="n"/>
      <c r="X44" s="1131" t="n"/>
      <c r="Y44" s="1131" t="n"/>
      <c r="Z44" s="1131" t="n"/>
      <c r="AA44" s="1131" t="n"/>
      <c r="AB44" s="1131" t="n"/>
      <c r="AC44" s="1131" t="n"/>
      <c r="AD44" s="1131" t="n"/>
      <c r="AE44" s="1131" t="n"/>
      <c r="AF44" s="1131" t="n"/>
      <c r="AI44" s="1132" t="n"/>
      <c r="AJ44" s="144" t="n"/>
      <c r="AK44" s="144" t="n"/>
      <c r="AL44" s="144" t="n"/>
      <c r="AM44" s="144" t="n"/>
      <c r="AN44" s="144" t="n"/>
      <c r="AO44" s="144" t="n"/>
      <c r="AP44" s="144" t="n"/>
      <c r="AQ44" s="144" t="n"/>
      <c r="AR44" s="144" t="n"/>
      <c r="AS44" s="144" t="n"/>
      <c r="AT44" s="144" t="n"/>
      <c r="AU44" s="144" t="n"/>
      <c r="AV44" s="144" t="n"/>
      <c r="AW44" s="144" t="n"/>
      <c r="AX44" s="144" t="n"/>
      <c r="AY44" s="144" t="n"/>
      <c r="AZ44" s="144" t="n"/>
      <c r="BA44" s="144" t="n"/>
      <c r="BB44" s="144" t="n"/>
      <c r="BC44" s="144" t="n"/>
      <c r="BD44" s="144" t="n"/>
      <c r="BE44" s="144" t="n"/>
      <c r="BF44" s="144" t="n"/>
      <c r="BG44" s="144" t="n"/>
      <c r="BH44" s="144" t="n"/>
      <c r="BI44" s="144" t="n"/>
      <c r="BJ44" s="144" t="n"/>
      <c r="BK44" s="144" t="n"/>
      <c r="BL44" s="144" t="n"/>
      <c r="BM44" s="144" t="n"/>
      <c r="BN44" s="144" t="n"/>
      <c r="BO44" s="144" t="n"/>
      <c r="BP44" s="144" t="n"/>
    </row>
    <row r="45" ht="24" customHeight="1" s="799">
      <c r="L45" s="133" t="n"/>
      <c r="AI45" s="146" t="n"/>
      <c r="AJ45" s="144" t="n"/>
      <c r="AK45" s="144" t="n"/>
      <c r="AL45" s="144" t="n"/>
      <c r="AM45" s="144" t="n"/>
      <c r="AN45" s="144" t="n"/>
      <c r="AO45" s="144" t="n"/>
      <c r="AP45" s="144" t="n"/>
      <c r="AQ45" s="144" t="n"/>
      <c r="AR45" s="144" t="n"/>
      <c r="AS45" s="144" t="n"/>
      <c r="AT45" s="144" t="n"/>
      <c r="AU45" s="144" t="n"/>
      <c r="AV45" s="144" t="n"/>
      <c r="AW45" s="144" t="n"/>
      <c r="AX45" s="144" t="n"/>
      <c r="AY45" s="144" t="n"/>
      <c r="AZ45" s="144" t="n"/>
      <c r="BA45" s="144" t="n"/>
      <c r="BB45" s="144" t="n"/>
      <c r="BC45" s="144" t="n"/>
      <c r="BD45" s="144" t="n"/>
      <c r="BE45" s="144" t="n"/>
      <c r="BF45" s="144" t="n"/>
      <c r="BG45" s="144" t="n"/>
      <c r="BH45" s="144" t="n"/>
      <c r="BI45" s="144" t="n"/>
      <c r="BJ45" s="144" t="n"/>
      <c r="BK45" s="144" t="n"/>
      <c r="BL45" s="144" t="n"/>
      <c r="BM45" s="144" t="n"/>
      <c r="BN45" s="144" t="n"/>
      <c r="BO45" s="144" t="n"/>
      <c r="BP45" s="144" t="n"/>
    </row>
    <row r="46" ht="24" customHeight="1" s="799">
      <c r="B46" s="133" t="n"/>
      <c r="AI46" s="146" t="n"/>
      <c r="AJ46" s="144" t="n"/>
      <c r="AK46" s="144" t="n"/>
      <c r="AL46" s="144" t="n"/>
      <c r="AM46" s="144" t="n"/>
      <c r="AN46" s="144" t="n"/>
      <c r="AO46" s="144" t="n"/>
      <c r="AP46" s="144" t="n"/>
      <c r="AQ46" s="144" t="n"/>
      <c r="AR46" s="144" t="n"/>
      <c r="AS46" s="144" t="n"/>
      <c r="AT46" s="144" t="n"/>
      <c r="AU46" s="144" t="n"/>
      <c r="AV46" s="144" t="n"/>
      <c r="AW46" s="144" t="n"/>
      <c r="AX46" s="144" t="n"/>
      <c r="AY46" s="144" t="n"/>
      <c r="AZ46" s="144" t="n"/>
      <c r="BA46" s="144" t="n"/>
      <c r="BB46" s="144" t="n"/>
      <c r="BC46" s="144" t="n"/>
      <c r="BD46" s="144" t="n"/>
      <c r="BE46" s="144" t="n"/>
      <c r="BF46" s="144" t="n"/>
      <c r="BG46" s="144" t="n"/>
      <c r="BH46" s="144" t="n"/>
      <c r="BI46" s="144" t="n"/>
      <c r="BJ46" s="144" t="n"/>
      <c r="BK46" s="144" t="n"/>
      <c r="BL46" s="144" t="n"/>
      <c r="BM46" s="144" t="n"/>
      <c r="BN46" s="144" t="n"/>
      <c r="BO46" s="144" t="n"/>
      <c r="BP46" s="144" t="n"/>
    </row>
    <row r="47" ht="24" customHeight="1" s="799">
      <c r="AI47" s="146" t="n"/>
      <c r="AJ47" s="144" t="n"/>
      <c r="AK47" s="144" t="n"/>
      <c r="AL47" s="144" t="n"/>
      <c r="AM47" s="144" t="n"/>
      <c r="AN47" s="144" t="n"/>
      <c r="AO47" s="144" t="n"/>
      <c r="AP47" s="144" t="n"/>
      <c r="AQ47" s="144" t="n"/>
      <c r="AR47" s="144" t="n"/>
      <c r="AS47" s="144" t="n"/>
      <c r="AT47" s="144" t="n"/>
      <c r="AU47" s="144" t="n"/>
      <c r="AV47" s="144" t="n"/>
      <c r="AW47" s="144" t="n"/>
      <c r="AX47" s="144" t="n"/>
      <c r="AY47" s="144" t="n"/>
      <c r="AZ47" s="144" t="n"/>
      <c r="BA47" s="144" t="n"/>
      <c r="BB47" s="144" t="n"/>
      <c r="BC47" s="144" t="n"/>
      <c r="BD47" s="144" t="n"/>
      <c r="BE47" s="144" t="n"/>
      <c r="BF47" s="144" t="n"/>
      <c r="BG47" s="144" t="n"/>
      <c r="BH47" s="144" t="n"/>
      <c r="BI47" s="144" t="n"/>
      <c r="BJ47" s="144" t="n"/>
      <c r="BK47" s="144" t="n"/>
      <c r="BL47" s="144" t="n"/>
      <c r="BM47" s="144" t="n"/>
      <c r="BN47" s="144" t="n"/>
      <c r="BO47" s="144" t="n"/>
      <c r="BP47" s="144" t="n"/>
    </row>
    <row r="48" ht="24" customHeight="1" s="799">
      <c r="AI48" s="146" t="n"/>
      <c r="AJ48" s="144" t="n"/>
      <c r="AK48" s="144" t="n"/>
      <c r="AL48" s="144" t="n"/>
      <c r="AM48" s="144" t="n"/>
      <c r="AN48" s="144" t="n"/>
      <c r="AO48" s="144" t="n"/>
      <c r="AP48" s="144" t="n"/>
      <c r="AQ48" s="144" t="n"/>
      <c r="AR48" s="144" t="n"/>
      <c r="AS48" s="144" t="n"/>
      <c r="AT48" s="144" t="n"/>
      <c r="AU48" s="144" t="n"/>
      <c r="AV48" s="144" t="n"/>
      <c r="AW48" s="144" t="n"/>
      <c r="AX48" s="144" t="n"/>
      <c r="AY48" s="144" t="n"/>
      <c r="AZ48" s="144" t="n"/>
      <c r="BA48" s="144" t="n"/>
      <c r="BB48" s="144" t="n"/>
      <c r="BC48" s="144" t="n"/>
      <c r="BD48" s="144" t="n"/>
      <c r="BE48" s="144" t="n"/>
      <c r="BF48" s="144" t="n"/>
      <c r="BG48" s="144" t="n"/>
      <c r="BH48" s="144" t="n"/>
      <c r="BI48" s="144" t="n"/>
      <c r="BJ48" s="144" t="n"/>
      <c r="BK48" s="144" t="n"/>
      <c r="BL48" s="144" t="n"/>
      <c r="BM48" s="144" t="n"/>
      <c r="BN48" s="144" t="n"/>
      <c r="BO48" s="144" t="n"/>
      <c r="BP48" s="144" t="n"/>
    </row>
    <row r="49" ht="24" customHeight="1" s="799">
      <c r="AI49" s="146" t="n"/>
      <c r="AJ49" s="144" t="n"/>
      <c r="AK49" s="144" t="n"/>
      <c r="AL49" s="144" t="n"/>
      <c r="AM49" s="144" t="n"/>
      <c r="AN49" s="144" t="n"/>
      <c r="AO49" s="144" t="n"/>
      <c r="AP49" s="144" t="n"/>
      <c r="AQ49" s="144" t="n"/>
      <c r="AR49" s="144" t="n"/>
      <c r="AS49" s="144" t="n"/>
      <c r="AT49" s="144" t="n"/>
      <c r="AU49" s="144" t="n"/>
      <c r="AV49" s="144" t="n"/>
      <c r="AW49" s="144" t="n"/>
      <c r="AX49" s="144" t="n"/>
      <c r="AY49" s="144" t="n"/>
      <c r="AZ49" s="144" t="n"/>
      <c r="BA49" s="144" t="n"/>
      <c r="BB49" s="144" t="n"/>
      <c r="BC49" s="144" t="n"/>
      <c r="BD49" s="144" t="n"/>
      <c r="BE49" s="144" t="n"/>
      <c r="BF49" s="144" t="n"/>
      <c r="BG49" s="144" t="n"/>
      <c r="BH49" s="144" t="n"/>
      <c r="BI49" s="144" t="n"/>
      <c r="BJ49" s="144" t="n"/>
      <c r="BK49" s="144" t="n"/>
      <c r="BL49" s="144" t="n"/>
      <c r="BM49" s="144" t="n"/>
      <c r="BN49" s="144" t="n"/>
      <c r="BO49" s="144" t="n"/>
      <c r="BP49" s="144" t="n"/>
    </row>
    <row r="50" ht="24" customHeight="1" s="799">
      <c r="R50" s="82" t="inlineStr">
        <is>
          <t xml:space="preserve"> </t>
        </is>
      </c>
      <c r="AI50" s="146" t="n"/>
      <c r="AJ50" s="144" t="n"/>
      <c r="AK50" s="144" t="n"/>
      <c r="AL50" s="144" t="n"/>
      <c r="AM50" s="144" t="n"/>
      <c r="AN50" s="144" t="n"/>
      <c r="AO50" s="144" t="n"/>
      <c r="AP50" s="144" t="n"/>
      <c r="AQ50" s="144" t="n"/>
      <c r="AR50" s="144" t="n"/>
      <c r="AS50" s="144" t="n"/>
      <c r="AT50" s="144" t="n"/>
      <c r="AU50" s="144" t="n"/>
      <c r="AV50" s="144" t="n"/>
      <c r="AW50" s="144" t="n"/>
      <c r="AX50" s="144" t="n"/>
      <c r="AY50" s="144" t="n"/>
      <c r="AZ50" s="144" t="n"/>
      <c r="BA50" s="144" t="n"/>
      <c r="BB50" s="144" t="n"/>
      <c r="BC50" s="144" t="n"/>
      <c r="BD50" s="144" t="n"/>
      <c r="BE50" s="144" t="n"/>
      <c r="BF50" s="144" t="n"/>
      <c r="BG50" s="144" t="n"/>
      <c r="BH50" s="144" t="n"/>
      <c r="BI50" s="144" t="n"/>
      <c r="BJ50" s="144" t="n"/>
      <c r="BK50" s="144" t="n"/>
      <c r="BL50" s="144" t="n"/>
      <c r="BM50" s="144" t="n"/>
      <c r="BN50" s="144" t="n"/>
      <c r="BO50" s="144" t="n"/>
      <c r="BP50" s="144" t="n"/>
    </row>
    <row r="51" ht="24" customHeight="1" s="799">
      <c r="AI51" s="146" t="n"/>
      <c r="AJ51" s="144" t="n"/>
      <c r="AK51" s="144" t="n"/>
      <c r="AL51" s="144" t="n"/>
      <c r="AM51" s="144" t="n"/>
      <c r="AN51" s="144" t="n"/>
      <c r="AO51" s="144" t="n"/>
      <c r="AP51" s="144" t="n"/>
      <c r="AQ51" s="144" t="n"/>
      <c r="AR51" s="144" t="n"/>
      <c r="AS51" s="144" t="n"/>
      <c r="AT51" s="144" t="n"/>
      <c r="AU51" s="144" t="n"/>
      <c r="AV51" s="144" t="n"/>
      <c r="AW51" s="144" t="n"/>
      <c r="AX51" s="144" t="n"/>
      <c r="AY51" s="144" t="n"/>
      <c r="AZ51" s="144" t="n"/>
      <c r="BA51" s="144" t="n"/>
      <c r="BB51" s="144" t="n"/>
      <c r="BC51" s="144" t="n"/>
      <c r="BD51" s="144" t="n"/>
      <c r="BE51" s="144" t="n"/>
      <c r="BF51" s="144" t="n"/>
      <c r="BG51" s="144" t="n"/>
      <c r="BH51" s="144" t="n"/>
      <c r="BI51" s="144" t="n"/>
      <c r="BJ51" s="144" t="n"/>
      <c r="BK51" s="144" t="n"/>
      <c r="BL51" s="144" t="n"/>
      <c r="BM51" s="144" t="n"/>
      <c r="BN51" s="144" t="n"/>
      <c r="BO51" s="144" t="n"/>
      <c r="BP51" s="144" t="n"/>
    </row>
    <row r="52" ht="24" customHeight="1" s="799">
      <c r="I52" s="108" t="n"/>
      <c r="J52" s="108" t="n"/>
      <c r="K52" s="108" t="n"/>
      <c r="L52" s="108" t="n"/>
      <c r="M52" s="108" t="n"/>
      <c r="N52" s="108" t="n"/>
      <c r="AI52" s="146" t="n"/>
      <c r="AJ52" s="144" t="n"/>
      <c r="AK52" s="144" t="n"/>
      <c r="AL52" s="144" t="n"/>
      <c r="AM52" s="144" t="n"/>
      <c r="AN52" s="144" t="n"/>
      <c r="AO52" s="144" t="n"/>
      <c r="AP52" s="144" t="n"/>
      <c r="AQ52" s="144" t="n"/>
      <c r="AR52" s="144" t="n"/>
      <c r="AS52" s="144" t="n"/>
      <c r="AT52" s="144" t="n"/>
      <c r="AU52" s="144" t="n"/>
      <c r="AV52" s="144" t="n"/>
      <c r="AW52" s="144" t="n"/>
      <c r="AX52" s="144" t="n"/>
      <c r="AY52" s="144" t="n"/>
      <c r="AZ52" s="144" t="n"/>
      <c r="BA52" s="144" t="n"/>
      <c r="BB52" s="144" t="n"/>
      <c r="BC52" s="144" t="n"/>
      <c r="BD52" s="144" t="n"/>
      <c r="BE52" s="144" t="n"/>
      <c r="BF52" s="144" t="n"/>
      <c r="BG52" s="144" t="n"/>
      <c r="BH52" s="144" t="n"/>
      <c r="BI52" s="144" t="n"/>
      <c r="BJ52" s="144" t="n"/>
      <c r="BK52" s="144" t="n"/>
      <c r="BL52" s="144" t="n"/>
      <c r="BM52" s="144" t="n"/>
      <c r="BN52" s="144" t="n"/>
      <c r="BO52" s="144" t="n"/>
      <c r="BP52" s="144" t="n"/>
    </row>
    <row r="53" ht="24" customHeight="1" s="799">
      <c r="I53" s="108" t="n"/>
      <c r="J53" s="108" t="n"/>
      <c r="K53" s="108" t="n"/>
      <c r="L53" s="108" t="n"/>
      <c r="M53" s="108" t="n"/>
      <c r="N53" s="108" t="n"/>
      <c r="AI53" s="146" t="n"/>
      <c r="AJ53" s="144" t="n"/>
      <c r="AK53" s="144" t="n"/>
      <c r="AL53" s="144" t="n"/>
      <c r="AM53" s="144" t="n"/>
      <c r="AN53" s="144" t="n"/>
      <c r="AO53" s="144" t="n"/>
      <c r="AP53" s="144" t="n"/>
      <c r="AQ53" s="144" t="n"/>
      <c r="AR53" s="144" t="n"/>
      <c r="AS53" s="144" t="n"/>
      <c r="AT53" s="144" t="n"/>
      <c r="AU53" s="144" t="n"/>
      <c r="AV53" s="144" t="n"/>
      <c r="AW53" s="144" t="n"/>
      <c r="AX53" s="144" t="n"/>
      <c r="AY53" s="144" t="n"/>
      <c r="AZ53" s="144" t="n"/>
      <c r="BA53" s="144" t="n"/>
      <c r="BB53" s="144" t="n"/>
      <c r="BC53" s="144" t="n"/>
      <c r="BD53" s="144" t="n"/>
      <c r="BE53" s="144" t="n"/>
      <c r="BF53" s="144" t="n"/>
      <c r="BG53" s="144" t="n"/>
      <c r="BH53" s="144" t="n"/>
      <c r="BI53" s="144" t="n"/>
      <c r="BJ53" s="144" t="n"/>
      <c r="BK53" s="144" t="n"/>
      <c r="BL53" s="144" t="n"/>
      <c r="BM53" s="144" t="n"/>
      <c r="BN53" s="144" t="n"/>
      <c r="BO53" s="144" t="n"/>
      <c r="BP53" s="144" t="n"/>
    </row>
    <row r="54" ht="24" customHeight="1" s="799">
      <c r="I54" s="108" t="n"/>
      <c r="J54" s="108" t="n"/>
      <c r="K54" s="108" t="n"/>
      <c r="L54" s="108" t="n"/>
      <c r="M54" s="108" t="n"/>
      <c r="N54" s="108" t="n"/>
      <c r="AI54" s="146" t="n"/>
      <c r="AJ54" s="144" t="n"/>
      <c r="AK54" s="144" t="n"/>
      <c r="AL54" s="144" t="n"/>
      <c r="AM54" s="144" t="n"/>
      <c r="AN54" s="144" t="n"/>
      <c r="AO54" s="144" t="n"/>
      <c r="AP54" s="144" t="n"/>
      <c r="AQ54" s="144" t="n"/>
      <c r="AR54" s="144" t="n"/>
      <c r="AS54" s="144" t="n"/>
      <c r="AT54" s="144" t="n"/>
      <c r="AU54" s="144" t="n"/>
      <c r="AV54" s="144" t="n"/>
      <c r="AW54" s="144" t="n"/>
      <c r="AX54" s="144" t="n"/>
      <c r="AY54" s="144" t="n"/>
      <c r="AZ54" s="144" t="n"/>
      <c r="BA54" s="144" t="n"/>
      <c r="BB54" s="144" t="n"/>
      <c r="BC54" s="144" t="n"/>
      <c r="BD54" s="144" t="n"/>
      <c r="BE54" s="144" t="n"/>
      <c r="BF54" s="144" t="n"/>
      <c r="BG54" s="144" t="n"/>
      <c r="BH54" s="144" t="n"/>
      <c r="BI54" s="144" t="n"/>
      <c r="BJ54" s="144" t="n"/>
      <c r="BK54" s="144" t="n"/>
      <c r="BL54" s="144" t="n"/>
      <c r="BM54" s="144" t="n"/>
      <c r="BN54" s="144" t="n"/>
      <c r="BO54" s="144" t="n"/>
      <c r="BP54" s="144" t="n"/>
    </row>
    <row r="55" ht="24" customHeight="1" s="799">
      <c r="I55" s="108" t="n"/>
      <c r="J55" s="108" t="n"/>
      <c r="K55" s="108" t="n"/>
      <c r="L55" s="108" t="n"/>
      <c r="M55" s="108" t="n"/>
      <c r="N55" s="108" t="n"/>
      <c r="AI55" s="146" t="n"/>
      <c r="AJ55" s="144" t="n"/>
      <c r="AK55" s="144" t="n"/>
      <c r="AL55" s="144" t="n"/>
      <c r="AM55" s="144" t="n"/>
      <c r="AN55" s="144" t="n"/>
      <c r="AO55" s="144" t="n"/>
      <c r="AP55" s="144" t="n"/>
      <c r="AQ55" s="144" t="n"/>
      <c r="AR55" s="144" t="n"/>
      <c r="AS55" s="144" t="n"/>
      <c r="AT55" s="144" t="n"/>
      <c r="AU55" s="144" t="n"/>
      <c r="AV55" s="144" t="n"/>
      <c r="AW55" s="144" t="n"/>
      <c r="AX55" s="144" t="n"/>
      <c r="AY55" s="144" t="n"/>
      <c r="AZ55" s="144" t="n"/>
      <c r="BA55" s="144" t="n"/>
      <c r="BB55" s="144" t="n"/>
      <c r="BC55" s="144" t="n"/>
      <c r="BD55" s="144" t="n"/>
      <c r="BE55" s="144" t="n"/>
      <c r="BF55" s="144" t="n"/>
      <c r="BG55" s="144" t="n"/>
      <c r="BH55" s="144" t="n"/>
      <c r="BI55" s="144" t="n"/>
      <c r="BJ55" s="144" t="n"/>
      <c r="BK55" s="144" t="n"/>
      <c r="BL55" s="144" t="n"/>
      <c r="BM55" s="144" t="n"/>
      <c r="BN55" s="144" t="n"/>
      <c r="BO55" s="144" t="n"/>
      <c r="BP55" s="144" t="n"/>
    </row>
    <row r="56" ht="24" customHeight="1" s="799">
      <c r="I56" s="108" t="n"/>
      <c r="J56" s="108" t="n"/>
      <c r="K56" s="108" t="n"/>
      <c r="L56" s="108" t="n"/>
      <c r="M56" s="108" t="n"/>
      <c r="N56" s="108" t="n"/>
      <c r="AI56" s="148" t="n"/>
      <c r="AK56" s="144" t="n"/>
      <c r="AL56" s="144" t="n"/>
      <c r="AM56" s="144" t="n"/>
      <c r="AN56" s="144" t="n"/>
      <c r="AO56" s="144" t="n"/>
      <c r="AP56" s="144" t="n"/>
      <c r="AQ56" s="144" t="n"/>
    </row>
    <row r="57" ht="24" customHeight="1" s="799">
      <c r="I57" s="108" t="n"/>
      <c r="J57" s="108" t="n"/>
      <c r="K57" s="108" t="n"/>
      <c r="L57" s="108" t="n"/>
      <c r="M57" s="108" t="n"/>
      <c r="N57" s="108" t="n"/>
      <c r="AI57" s="148" t="n"/>
    </row>
    <row r="58" ht="24" customHeight="1" s="799">
      <c r="I58" s="108" t="n"/>
      <c r="J58" s="108" t="n"/>
      <c r="K58" s="108" t="n"/>
      <c r="L58" s="108" t="n"/>
      <c r="M58" s="108" t="n"/>
      <c r="N58" s="108" t="n"/>
      <c r="AI58" s="148" t="n"/>
    </row>
    <row r="59" ht="24" customHeight="1" s="799">
      <c r="I59" s="108" t="n"/>
      <c r="J59" s="108" t="n"/>
      <c r="K59" s="108" t="n"/>
      <c r="L59" s="108" t="n"/>
      <c r="M59" s="108" t="n"/>
      <c r="N59" s="108" t="n"/>
      <c r="AI59" s="148" t="n"/>
    </row>
    <row r="60" ht="24" customHeight="1" s="799">
      <c r="I60" s="108" t="n"/>
      <c r="J60" s="108" t="n"/>
      <c r="K60" s="108" t="n"/>
      <c r="L60" s="108" t="n"/>
      <c r="M60" s="108" t="n"/>
      <c r="N60" s="108" t="n"/>
    </row>
    <row r="61" ht="24" customHeight="1" s="799">
      <c r="I61" s="108" t="n"/>
      <c r="J61" s="108" t="n"/>
      <c r="K61" s="108" t="n"/>
      <c r="L61" s="108" t="n"/>
      <c r="M61" s="108" t="n"/>
      <c r="N61" s="108" t="n"/>
    </row>
    <row r="62" ht="24" customHeight="1" s="799">
      <c r="I62" s="108" t="n"/>
      <c r="J62" s="108" t="n"/>
      <c r="K62" s="108" t="n"/>
      <c r="L62" s="108" t="n"/>
      <c r="M62" s="108" t="n"/>
      <c r="N62" s="108" t="n"/>
    </row>
    <row r="63" ht="24" customHeight="1" s="799">
      <c r="I63" s="108" t="n"/>
      <c r="J63" s="108" t="n"/>
      <c r="K63" s="108" t="n"/>
      <c r="L63" s="108" t="n"/>
      <c r="M63" s="108" t="n"/>
      <c r="N63" s="108" t="n"/>
    </row>
    <row r="64" ht="24" customHeight="1" s="799">
      <c r="I64" s="108" t="n"/>
      <c r="J64" s="108" t="n"/>
      <c r="K64" s="108" t="n"/>
      <c r="L64" s="108" t="n"/>
      <c r="M64" s="108" t="n"/>
      <c r="N64" s="108" t="n"/>
    </row>
    <row r="65" ht="24" customHeight="1" s="799">
      <c r="I65" s="108" t="n"/>
      <c r="J65" s="108" t="n"/>
      <c r="K65" s="108" t="n"/>
      <c r="L65" s="108" t="n"/>
      <c r="M65" s="108" t="n"/>
      <c r="N65" s="108" t="n"/>
    </row>
    <row r="66" ht="24" customHeight="1" s="799">
      <c r="I66" s="108" t="n"/>
      <c r="J66" s="108" t="n"/>
      <c r="K66" s="108" t="n"/>
      <c r="L66" s="108" t="n"/>
      <c r="M66" s="108" t="n"/>
      <c r="N66" s="108" t="n"/>
    </row>
    <row r="67" ht="24" customHeight="1" s="799">
      <c r="I67" s="108" t="n"/>
      <c r="J67" s="108" t="n"/>
      <c r="K67" s="108" t="n"/>
      <c r="L67" s="108" t="n"/>
      <c r="M67" s="108" t="n"/>
      <c r="N67" s="108" t="n"/>
    </row>
    <row r="68" ht="24" customHeight="1" s="799">
      <c r="I68" s="108" t="n"/>
      <c r="J68" s="108" t="n"/>
      <c r="K68" s="108" t="n"/>
      <c r="L68" s="108" t="n"/>
      <c r="M68" s="108" t="n"/>
      <c r="N68" s="108" t="n"/>
    </row>
    <row r="69" ht="24" customHeight="1" s="799">
      <c r="I69" s="108" t="n"/>
      <c r="J69" s="108" t="n"/>
      <c r="K69" s="108" t="n"/>
      <c r="L69" s="108" t="n"/>
      <c r="M69" s="108" t="n"/>
      <c r="N69" s="108" t="n"/>
    </row>
    <row r="70" ht="24" customHeight="1" s="799">
      <c r="I70" s="108" t="n"/>
      <c r="J70" s="108" t="n"/>
      <c r="K70" s="108" t="n"/>
      <c r="L70" s="108" t="n"/>
      <c r="M70" s="108" t="n"/>
      <c r="N70" s="108" t="n"/>
    </row>
    <row r="71" ht="24" customHeight="1" s="799">
      <c r="I71" s="108" t="n"/>
      <c r="J71" s="108" t="n"/>
      <c r="K71" s="108" t="n"/>
      <c r="L71" s="108" t="n"/>
      <c r="M71" s="108" t="n"/>
      <c r="N71" s="108" t="n"/>
    </row>
    <row r="72" ht="24" customHeight="1" s="799">
      <c r="I72" s="108" t="n"/>
      <c r="J72" s="108" t="n"/>
      <c r="K72" s="108" t="n"/>
      <c r="L72" s="108" t="n"/>
      <c r="M72" s="108" t="n"/>
      <c r="N72" s="108" t="n"/>
    </row>
    <row r="73" ht="24" customHeight="1" s="799">
      <c r="I73" s="108" t="n"/>
      <c r="J73" s="108" t="n"/>
      <c r="K73" s="108" t="n"/>
      <c r="L73" s="108" t="n"/>
      <c r="M73" s="108" t="n"/>
      <c r="N73" s="108" t="n"/>
    </row>
    <row r="74" ht="24" customHeight="1" s="799">
      <c r="I74" s="108" t="n"/>
      <c r="J74" s="108" t="n"/>
      <c r="K74" s="108" t="n"/>
      <c r="L74" s="108" t="n"/>
      <c r="M74" s="108" t="n"/>
      <c r="N74" s="108" t="n"/>
    </row>
    <row r="75" ht="24" customHeight="1" s="799">
      <c r="I75" s="108" t="n"/>
      <c r="J75" s="108" t="n"/>
      <c r="K75" s="108" t="n"/>
      <c r="L75" s="108" t="n"/>
      <c r="M75" s="108" t="n"/>
      <c r="N75" s="108" t="n"/>
    </row>
    <row r="76" ht="24" customHeight="1" s="799">
      <c r="I76" s="108" t="n"/>
      <c r="J76" s="108" t="n"/>
      <c r="K76" s="108" t="n"/>
      <c r="L76" s="108" t="n"/>
      <c r="M76" s="108" t="n"/>
      <c r="N76" s="108" t="n"/>
    </row>
  </sheetData>
  <pageMargins left="0.7" right="0.7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F76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ColWidth="10.6640625" defaultRowHeight="19"/>
  <cols>
    <col width="41" customWidth="1" style="7" min="1" max="1"/>
    <col outlineLevel="1" width="24.33203125" customWidth="1" style="7" min="2" max="2"/>
    <col outlineLevel="1" width="22.5" customWidth="1" style="7" min="3" max="3"/>
    <col outlineLevel="1" width="19" customWidth="1" style="7" min="4" max="4"/>
    <col outlineLevel="1" width="17.1640625" customWidth="1" style="7" min="5" max="5"/>
    <col outlineLevel="1" width="18.5" customWidth="1" style="7" min="6" max="6"/>
    <col outlineLevel="1" width="16.5" customWidth="1" style="7" min="7" max="7"/>
    <col outlineLevel="1" width="17.1640625" customWidth="1" style="4" min="8" max="10"/>
    <col outlineLevel="1" width="19" customWidth="1" style="4" min="11" max="11"/>
    <col outlineLevel="1" width="19.1640625" customWidth="1" style="4" min="12" max="12"/>
    <col outlineLevel="1" width="20.6640625" customWidth="1" style="4" min="13" max="13"/>
    <col outlineLevel="1" width="19.6640625" customWidth="1" style="4" min="14" max="14"/>
    <col outlineLevel="1" width="19" customWidth="1" style="4" min="15" max="15"/>
    <col outlineLevel="1" width="18.5" customWidth="1" style="4" min="16" max="16"/>
    <col outlineLevel="1" width="18.83203125" customWidth="1" style="4" min="17" max="26"/>
    <col width="18.83203125" customWidth="1" style="4" min="27" max="29"/>
    <col width="21.83203125" customWidth="1" style="4" min="30" max="30"/>
    <col width="19.83203125" customWidth="1" style="4" min="31" max="31"/>
    <col width="10.6640625" customWidth="1" style="4" min="32" max="40"/>
    <col width="10.6640625" customWidth="1" style="4" min="41" max="16384"/>
  </cols>
  <sheetData>
    <row r="2" ht="70.25" customHeight="1" s="799">
      <c r="A2" s="80" t="inlineStr">
        <is>
          <t>Equity Requirements Calculations  V1</t>
        </is>
      </c>
      <c r="B2" s="34" t="n"/>
      <c r="C2" s="34" t="n"/>
      <c r="D2" s="34" t="n"/>
      <c r="E2" s="34" t="n"/>
      <c r="F2" s="34" t="n"/>
      <c r="G2" s="34" t="n"/>
    </row>
    <row r="3" ht="20" customHeight="1" s="799" thickBot="1"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21" customFormat="1" customHeight="1" s="6" thickBot="1">
      <c r="A4" s="17" t="inlineStr">
        <is>
          <t>Date: 13.9.2024</t>
        </is>
      </c>
      <c r="B4" s="68" t="n">
        <v>45352</v>
      </c>
      <c r="C4" s="68" t="n">
        <v>45383</v>
      </c>
      <c r="D4" s="68" t="n">
        <v>45413</v>
      </c>
      <c r="E4" s="68" t="n">
        <v>45444</v>
      </c>
      <c r="F4" s="68" t="n">
        <v>45474</v>
      </c>
      <c r="G4" s="68" t="n">
        <v>45505</v>
      </c>
      <c r="H4" s="68" t="n">
        <v>45536</v>
      </c>
      <c r="I4" s="68" t="n">
        <v>45566</v>
      </c>
      <c r="J4" s="68" t="n">
        <v>45597</v>
      </c>
      <c r="K4" s="68" t="n">
        <v>45627</v>
      </c>
      <c r="L4" s="68" t="n">
        <v>45658</v>
      </c>
      <c r="M4" s="68" t="n">
        <v>45689</v>
      </c>
      <c r="N4" s="68" t="n">
        <v>45717</v>
      </c>
      <c r="O4" s="68" t="n">
        <v>45748</v>
      </c>
      <c r="P4" s="68" t="n">
        <v>45778</v>
      </c>
      <c r="Q4" s="68" t="n">
        <v>45809</v>
      </c>
      <c r="R4" s="68" t="n">
        <v>45839</v>
      </c>
      <c r="S4" s="68" t="n">
        <v>45870</v>
      </c>
      <c r="T4" s="68" t="n">
        <v>45901</v>
      </c>
      <c r="U4" s="68" t="n">
        <v>45931</v>
      </c>
      <c r="V4" s="68" t="n">
        <v>45962</v>
      </c>
      <c r="W4" s="68" t="n">
        <v>45992</v>
      </c>
      <c r="X4" s="68" t="n">
        <v>46023</v>
      </c>
      <c r="Y4" s="68" t="n">
        <v>46054</v>
      </c>
      <c r="Z4" s="68" t="n">
        <v>46082</v>
      </c>
      <c r="AA4" s="68" t="n">
        <v>46113</v>
      </c>
      <c r="AB4" s="68" t="n">
        <v>46143</v>
      </c>
      <c r="AC4" s="68" t="n">
        <v>46174</v>
      </c>
      <c r="AD4" s="18" t="inlineStr">
        <is>
          <t>TOTAL outstanding</t>
        </is>
      </c>
      <c r="AE4" s="73" t="n"/>
    </row>
    <row r="5" customFormat="1" s="5">
      <c r="A5" s="15" t="n"/>
      <c r="B5" s="59" t="n"/>
      <c r="C5" s="59" t="n"/>
      <c r="D5" s="59" t="n"/>
      <c r="E5" s="59" t="n"/>
      <c r="F5" s="59" t="n"/>
      <c r="G5" s="59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  <c r="AA5" s="38" t="n"/>
      <c r="AB5" s="38" t="n"/>
      <c r="AC5" s="38" t="n"/>
      <c r="AD5" s="16" t="n"/>
    </row>
    <row r="6" ht="20" customHeight="1" s="799">
      <c r="A6" s="13" t="inlineStr">
        <is>
          <t>Balance begining of period</t>
        </is>
      </c>
      <c r="B6" s="1133" t="n"/>
      <c r="C6" s="1133">
        <f>B38</f>
        <v/>
      </c>
      <c r="D6" s="1133">
        <f>C38</f>
        <v/>
      </c>
      <c r="E6" s="1133">
        <f>D38</f>
        <v/>
      </c>
      <c r="F6" s="1133">
        <f>E38</f>
        <v/>
      </c>
      <c r="G6" s="1133">
        <f>F38</f>
        <v/>
      </c>
      <c r="H6" s="1133">
        <f>G38</f>
        <v/>
      </c>
      <c r="I6" s="1133">
        <f>H38</f>
        <v/>
      </c>
      <c r="J6" s="1133">
        <f>I38</f>
        <v/>
      </c>
      <c r="K6" s="1133">
        <f>J38</f>
        <v/>
      </c>
      <c r="L6" s="1133">
        <f>K38</f>
        <v/>
      </c>
      <c r="M6" s="1133">
        <f>L38</f>
        <v/>
      </c>
      <c r="N6" s="1133">
        <f>M38</f>
        <v/>
      </c>
      <c r="O6" s="1133">
        <f>N38</f>
        <v/>
      </c>
      <c r="P6" s="1133">
        <f>O38</f>
        <v/>
      </c>
      <c r="Q6" s="1133">
        <f>P38</f>
        <v/>
      </c>
      <c r="R6" s="1133">
        <f>Q38</f>
        <v/>
      </c>
      <c r="S6" s="1133">
        <f>R38</f>
        <v/>
      </c>
      <c r="T6" s="1133">
        <f>S38</f>
        <v/>
      </c>
      <c r="U6" s="1133">
        <f>T38</f>
        <v/>
      </c>
      <c r="V6" s="1133">
        <f>U38</f>
        <v/>
      </c>
      <c r="W6" s="1133">
        <f>V38</f>
        <v/>
      </c>
      <c r="X6" s="1133">
        <f>W38</f>
        <v/>
      </c>
      <c r="Y6" s="1133">
        <f>X38</f>
        <v/>
      </c>
      <c r="Z6" s="1133">
        <f>Y38</f>
        <v/>
      </c>
      <c r="AA6" s="1134">
        <f>Z38</f>
        <v/>
      </c>
      <c r="AB6" s="1134">
        <f>AA38</f>
        <v/>
      </c>
      <c r="AC6" s="1134">
        <f>AB38</f>
        <v/>
      </c>
      <c r="AD6" s="10" t="n"/>
    </row>
    <row r="7" ht="20" customHeight="1" s="799" thickBot="1">
      <c r="A7" s="19" t="n"/>
      <c r="B7" s="62" t="n"/>
      <c r="C7" s="62" t="n"/>
      <c r="D7" s="62" t="n"/>
      <c r="E7" s="62" t="n"/>
      <c r="F7" s="62" t="n"/>
      <c r="G7" s="62" t="n"/>
      <c r="H7" s="1135" t="n"/>
      <c r="I7" s="1135" t="n"/>
      <c r="J7" s="1135" t="n"/>
      <c r="K7" s="1135" t="n"/>
      <c r="L7" s="1135" t="n"/>
      <c r="M7" s="1135" t="n"/>
      <c r="N7" s="1135" t="n"/>
      <c r="O7" s="1135" t="n"/>
      <c r="P7" s="1135" t="n"/>
      <c r="Q7" s="1135" t="n"/>
      <c r="R7" s="1135" t="n"/>
      <c r="S7" s="1135" t="n"/>
      <c r="T7" s="1135" t="n"/>
      <c r="U7" s="1135" t="n"/>
      <c r="V7" s="1135" t="n"/>
      <c r="W7" s="1135" t="n"/>
      <c r="X7" s="1135" t="n"/>
      <c r="Y7" s="1135" t="n"/>
      <c r="Z7" s="1135" t="n"/>
      <c r="AA7" s="1136" t="n"/>
      <c r="AB7" s="1136" t="n"/>
      <c r="AC7" s="1136" t="n"/>
      <c r="AD7" s="20" t="n"/>
    </row>
    <row r="8" ht="20" customFormat="1" customHeight="1" s="6">
      <c r="A8" s="12" t="inlineStr">
        <is>
          <t xml:space="preserve">Payments </t>
        </is>
      </c>
      <c r="B8" s="54" t="n"/>
      <c r="C8" s="54" t="n"/>
      <c r="D8" s="54" t="n"/>
      <c r="E8" s="54" t="n"/>
      <c r="F8" s="54" t="n"/>
      <c r="G8" s="54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21" t="n"/>
    </row>
    <row r="9" ht="20" customHeight="1" s="799">
      <c r="A9" s="13" t="inlineStr">
        <is>
          <t>Hagenauer Fit out</t>
        </is>
      </c>
      <c r="B9" s="1133" t="n">
        <v>-6025000</v>
      </c>
      <c r="C9" s="1133" t="n">
        <v>-2447500</v>
      </c>
      <c r="D9" s="1133" t="n">
        <v>0</v>
      </c>
      <c r="E9" s="1133" t="n">
        <v>-5625500</v>
      </c>
      <c r="F9" s="1133" t="n">
        <v>-5801526</v>
      </c>
      <c r="G9" s="1133" t="n"/>
      <c r="H9" s="1133" t="n">
        <v>-4129588</v>
      </c>
      <c r="I9" s="1133" t="n">
        <v>-1070089</v>
      </c>
      <c r="J9" s="1133" t="n">
        <v>-1557241</v>
      </c>
      <c r="K9" s="1133" t="n">
        <v>-3356909</v>
      </c>
      <c r="L9" s="1133" t="n">
        <v>-2515021</v>
      </c>
      <c r="M9" s="1133" t="n">
        <v>-2137684</v>
      </c>
      <c r="N9" s="1133" t="n">
        <v>-1170136</v>
      </c>
      <c r="O9" s="1133" t="n">
        <v>-2195244</v>
      </c>
      <c r="P9" s="1133" t="n">
        <v>-1344630</v>
      </c>
      <c r="Q9" s="1133" t="n">
        <v>-1051978</v>
      </c>
      <c r="R9" s="1133" t="n">
        <v>-1733414</v>
      </c>
      <c r="S9" s="1133" t="n">
        <v>-1693227</v>
      </c>
      <c r="T9" s="1133">
        <f>-3090934+1550000</f>
        <v/>
      </c>
      <c r="U9" s="1133" t="n">
        <v>-435140.62</v>
      </c>
      <c r="V9" s="1133" t="n">
        <v>-1806961</v>
      </c>
      <c r="W9" s="1133" t="n"/>
      <c r="X9" s="1133" t="n"/>
      <c r="Y9" s="1133" t="n"/>
      <c r="Z9" s="1133" t="n"/>
      <c r="AA9" s="1134" t="n"/>
      <c r="AB9" s="1134" t="n"/>
      <c r="AC9" s="1137" t="n"/>
      <c r="AD9" s="1138">
        <f>SUM(Z9)</f>
        <v/>
      </c>
    </row>
    <row r="10" ht="20" customHeight="1" s="799">
      <c r="A10" s="13" t="inlineStr">
        <is>
          <t xml:space="preserve">Hagenauer FF&amp;E </t>
        </is>
      </c>
      <c r="B10" s="56" t="n"/>
      <c r="C10" s="56" t="n"/>
      <c r="D10" s="56" t="n"/>
      <c r="E10" s="56" t="n"/>
      <c r="F10" s="56" t="n"/>
      <c r="G10" s="56" t="n"/>
      <c r="H10" s="1133" t="n"/>
      <c r="I10" s="1133" t="n"/>
      <c r="J10" s="1133" t="n">
        <v>-300000</v>
      </c>
      <c r="K10" s="1133" t="n">
        <v>-221437</v>
      </c>
      <c r="L10" s="1133">
        <f>-1423808+600000</f>
        <v/>
      </c>
      <c r="M10" s="1133">
        <f>-251462-600000</f>
        <v/>
      </c>
      <c r="N10" s="1133" t="n">
        <v>-450935</v>
      </c>
      <c r="O10" s="1133" t="n">
        <v>-1076933</v>
      </c>
      <c r="P10" s="1133" t="n">
        <v>-610739</v>
      </c>
      <c r="Q10" s="1133" t="n">
        <v>-1192113</v>
      </c>
      <c r="R10" s="1133" t="n">
        <v>-934072</v>
      </c>
      <c r="S10" s="1133" t="n">
        <v>-1069427</v>
      </c>
      <c r="T10" s="1133" t="n">
        <v>-1111918</v>
      </c>
      <c r="U10" s="1133" t="n">
        <v>-575996.4</v>
      </c>
      <c r="V10" s="1133" t="n">
        <v>-328000</v>
      </c>
      <c r="W10" s="1133" t="n"/>
      <c r="X10" s="1133" t="n"/>
      <c r="Y10" s="1133" t="n"/>
      <c r="Z10" s="1133" t="n"/>
      <c r="AA10" s="1134" t="n"/>
      <c r="AB10" s="1134" t="n"/>
      <c r="AC10" s="1137" t="n"/>
      <c r="AD10" s="1138">
        <f>SUM(Z10)</f>
        <v/>
      </c>
    </row>
    <row r="11" ht="20" customHeight="1" s="799">
      <c r="A11" s="13" t="inlineStr">
        <is>
          <t>Hagenauer HKLS</t>
        </is>
      </c>
      <c r="B11" s="56" t="n"/>
      <c r="C11" s="56" t="n"/>
      <c r="D11" s="56" t="n"/>
      <c r="E11" s="56" t="n"/>
      <c r="F11" s="56" t="n"/>
      <c r="G11" s="56" t="n"/>
      <c r="H11" s="1133" t="n"/>
      <c r="I11" s="1133" t="n">
        <v>-1116499</v>
      </c>
      <c r="J11" s="1133" t="n">
        <v>-1230237</v>
      </c>
      <c r="K11" s="1133" t="n">
        <v>-1507803</v>
      </c>
      <c r="L11" s="1133" t="n">
        <v>-1638885</v>
      </c>
      <c r="M11" s="1133" t="n">
        <v>-1211618</v>
      </c>
      <c r="N11" s="1133" t="n">
        <v>-1044657</v>
      </c>
      <c r="O11" s="1133" t="n">
        <v>-886555</v>
      </c>
      <c r="P11" s="1133" t="n">
        <v>-814962</v>
      </c>
      <c r="Q11" s="1133" t="n">
        <v>-898260</v>
      </c>
      <c r="R11" s="1133" t="n">
        <v>-1104626</v>
      </c>
      <c r="S11" s="1133" t="n">
        <v>-767953</v>
      </c>
      <c r="T11" s="1133" t="n">
        <v>-883132</v>
      </c>
      <c r="U11" s="1133" t="n">
        <v>-179797</v>
      </c>
      <c r="V11" s="1133" t="n">
        <v>-100000</v>
      </c>
      <c r="W11" s="1133" t="n"/>
      <c r="X11" s="1133" t="n"/>
      <c r="Y11" s="1133" t="n"/>
      <c r="Z11" s="1133" t="n"/>
      <c r="AA11" s="1134" t="n"/>
      <c r="AB11" s="1134" t="n"/>
      <c r="AC11" s="1137" t="n"/>
      <c r="AD11" s="1138">
        <f>SUM(Z11)</f>
        <v/>
      </c>
    </row>
    <row r="12" ht="20" customHeight="1" s="799">
      <c r="A12" s="13" t="inlineStr">
        <is>
          <t>Hagenauer Damage claim deduction</t>
        </is>
      </c>
      <c r="B12" s="56" t="n"/>
      <c r="C12" s="56" t="n"/>
      <c r="D12" s="56" t="n"/>
      <c r="E12" s="56" t="n"/>
      <c r="F12" s="56" t="n"/>
      <c r="G12" s="56" t="n"/>
      <c r="H12" s="1133" t="n"/>
      <c r="I12" s="1133" t="n"/>
      <c r="J12" s="1133" t="n"/>
      <c r="K12" s="1133" t="n"/>
      <c r="L12" s="1133" t="n"/>
      <c r="M12" s="1133" t="n"/>
      <c r="N12" s="1133" t="n"/>
      <c r="O12" s="1133" t="n"/>
      <c r="P12" s="1133" t="n"/>
      <c r="Q12" s="1133" t="n"/>
      <c r="R12" s="1133" t="n"/>
      <c r="S12" s="1133" t="n"/>
      <c r="T12" s="1133" t="n"/>
      <c r="U12" s="1133" t="n"/>
      <c r="V12" s="1133" t="n">
        <v>2330000</v>
      </c>
      <c r="W12" s="1133" t="n"/>
      <c r="X12" s="1133" t="n"/>
      <c r="Y12" s="1133" t="n"/>
      <c r="Z12" s="1133" t="n"/>
      <c r="AA12" s="1134" t="n"/>
      <c r="AB12" s="1134" t="n"/>
      <c r="AC12" s="1137" t="n"/>
      <c r="AD12" s="1138">
        <f>SUM(Z12:AC12)</f>
        <v/>
      </c>
    </row>
    <row r="13" ht="20" customHeight="1" s="799">
      <c r="A13" s="13" t="inlineStr">
        <is>
          <t>Hagenauer TU Fee</t>
        </is>
      </c>
      <c r="B13" s="56" t="n"/>
      <c r="C13" s="56" t="n"/>
      <c r="D13" s="56" t="n"/>
      <c r="E13" s="56" t="n"/>
      <c r="F13" s="56" t="n"/>
      <c r="G13" s="56" t="n"/>
      <c r="H13" s="1133" t="n"/>
      <c r="I13" s="1133" t="n">
        <v>-398466</v>
      </c>
      <c r="J13" s="1133" t="n">
        <v>-398466</v>
      </c>
      <c r="K13" s="1133" t="n">
        <v>-398466</v>
      </c>
      <c r="L13" s="1133" t="n">
        <v>-398466</v>
      </c>
      <c r="M13" s="1133" t="n">
        <v>-398466</v>
      </c>
      <c r="N13" s="1133" t="n">
        <v>-398466</v>
      </c>
      <c r="O13" s="1133" t="n">
        <v>-398466</v>
      </c>
      <c r="P13" s="1133" t="n">
        <v>-398466</v>
      </c>
      <c r="Q13" s="1133" t="n">
        <v>-398466</v>
      </c>
      <c r="R13" s="1133" t="n">
        <v>-132822</v>
      </c>
      <c r="S13" s="1133" t="n">
        <v>-100000</v>
      </c>
      <c r="T13" s="1133" t="n">
        <v>-100000</v>
      </c>
      <c r="U13" s="1133" t="n">
        <v>-100000</v>
      </c>
      <c r="V13" s="1133" t="n">
        <v>-100000</v>
      </c>
      <c r="W13" s="1133" t="n"/>
      <c r="X13" s="1133" t="n"/>
      <c r="Y13" s="1133" t="n"/>
      <c r="Z13" s="1133" t="n"/>
      <c r="AA13" s="1139" t="n">
        <v>-350000</v>
      </c>
      <c r="AB13" s="1139" t="n">
        <v>-350000</v>
      </c>
      <c r="AC13" s="1139" t="n">
        <v>-350000</v>
      </c>
      <c r="AD13" s="1138">
        <f>SUM(Z13:AC13)</f>
        <v/>
      </c>
      <c r="AE13" s="53" t="n"/>
    </row>
    <row r="14" ht="20" customHeight="1" s="799">
      <c r="A14" s="78" t="inlineStr">
        <is>
          <t>Hotel replacement Hagenauer</t>
        </is>
      </c>
      <c r="B14" s="56" t="n"/>
      <c r="C14" s="56" t="n"/>
      <c r="D14" s="56" t="n"/>
      <c r="E14" s="56" t="n"/>
      <c r="F14" s="56" t="n"/>
      <c r="G14" s="56" t="n"/>
      <c r="H14" s="1133" t="n"/>
      <c r="I14" s="1133" t="n"/>
      <c r="J14" s="1133" t="n"/>
      <c r="K14" s="1133" t="n"/>
      <c r="L14" s="1133" t="n"/>
      <c r="M14" s="1133" t="n"/>
      <c r="N14" s="1133" t="n"/>
      <c r="O14" s="1133" t="n"/>
      <c r="P14" s="1133" t="n"/>
      <c r="Q14" s="1133" t="n"/>
      <c r="R14" s="1133" t="n"/>
      <c r="S14" s="1133" t="n"/>
      <c r="T14" s="1133" t="n"/>
      <c r="U14" s="1133" t="n"/>
      <c r="V14" s="1133" t="n"/>
      <c r="W14" s="1133" t="n"/>
      <c r="X14" s="1133" t="n"/>
      <c r="Y14" s="1133" t="n"/>
      <c r="Z14" s="1133" t="n"/>
      <c r="AA14" s="1134" t="n"/>
      <c r="AB14" s="1134" t="n"/>
      <c r="AC14" s="1137" t="n"/>
      <c r="AD14" s="1138" t="n"/>
      <c r="AE14" s="53" t="n"/>
    </row>
    <row r="15" ht="20" customHeight="1" s="799">
      <c r="A15" s="13" t="inlineStr">
        <is>
          <t xml:space="preserve">Apartments standard </t>
        </is>
      </c>
      <c r="B15" s="56" t="n"/>
      <c r="C15" s="56" t="n"/>
      <c r="D15" s="56" t="n"/>
      <c r="E15" s="56" t="n"/>
      <c r="F15" s="56" t="n"/>
      <c r="G15" s="56" t="n"/>
      <c r="H15" s="1133" t="n"/>
      <c r="I15" s="1133" t="n">
        <v>-48625</v>
      </c>
      <c r="J15" s="1133" t="n"/>
      <c r="K15" s="1133" t="n"/>
      <c r="L15" s="1133" t="n"/>
      <c r="M15" s="1133" t="n"/>
      <c r="N15" s="1133">
        <f>-55798-14500-8865</f>
        <v/>
      </c>
      <c r="O15" s="1133">
        <f>-59683-45355</f>
        <v/>
      </c>
      <c r="P15" s="1133">
        <f>-90670-72423</f>
        <v/>
      </c>
      <c r="Q15" s="1133" t="n"/>
      <c r="R15" s="1133" t="n">
        <v>-114053</v>
      </c>
      <c r="S15" s="1133" t="n">
        <v>-510696</v>
      </c>
      <c r="T15" s="1133">
        <f>-89511-76118-186068-10488-63695-30275</f>
        <v/>
      </c>
      <c r="U15" s="1133">
        <f>-20109.67-29272.66-13872.52-37004.44</f>
        <v/>
      </c>
      <c r="V15" s="1133" t="n">
        <v>-226092.69</v>
      </c>
      <c r="W15" s="1133" t="n">
        <v>0</v>
      </c>
      <c r="X15" s="1133" t="n">
        <v>-139034</v>
      </c>
      <c r="Y15" s="1133" t="n"/>
      <c r="Z15" s="1133">
        <f>-25511-305170.67-17771-102826-41033-26769</f>
        <v/>
      </c>
      <c r="AA15" s="1134" t="n">
        <v>-550000</v>
      </c>
      <c r="AB15" s="1134" t="n">
        <v>-550000</v>
      </c>
      <c r="AC15" s="1134" t="n">
        <v>-550000</v>
      </c>
      <c r="AD15" s="1138">
        <f>SUM(AA15:AC15)</f>
        <v/>
      </c>
      <c r="AE15" s="53" t="n"/>
    </row>
    <row r="16" ht="20" customHeight="1" s="799">
      <c r="A16" s="78" t="inlineStr">
        <is>
          <t>Apartments replacment of Hagenauer</t>
        </is>
      </c>
      <c r="B16" s="56" t="n"/>
      <c r="C16" s="56" t="n"/>
      <c r="D16" s="56" t="n"/>
      <c r="E16" s="56" t="n"/>
      <c r="F16" s="56" t="n"/>
      <c r="G16" s="56" t="n"/>
      <c r="H16" s="1133" t="n"/>
      <c r="I16" s="1133" t="n"/>
      <c r="J16" s="1133" t="n"/>
      <c r="K16" s="1133" t="n"/>
      <c r="L16" s="1133" t="n"/>
      <c r="M16" s="1133" t="n"/>
      <c r="N16" s="1133" t="n"/>
      <c r="O16" s="1133" t="n"/>
      <c r="P16" s="1133" t="n"/>
      <c r="Q16" s="1133" t="n"/>
      <c r="R16" s="1133" t="n"/>
      <c r="S16" s="1133" t="n"/>
      <c r="T16" s="1133" t="n"/>
      <c r="U16" s="1133" t="n"/>
      <c r="V16" s="1133" t="n"/>
      <c r="W16" s="1133" t="n"/>
      <c r="X16" s="1133" t="n"/>
      <c r="Y16" s="1133" t="n"/>
      <c r="Z16" s="1133" t="n"/>
      <c r="AA16" s="1134" t="n">
        <v>-150000</v>
      </c>
      <c r="AB16" s="1134" t="n">
        <v>-150000</v>
      </c>
      <c r="AC16" s="1134" t="n">
        <v>-150000</v>
      </c>
      <c r="AD16" s="1138">
        <f>SUM(AA16:AC16)</f>
        <v/>
      </c>
      <c r="AE16" s="53" t="n"/>
    </row>
    <row r="17" ht="40" customHeight="1" s="799">
      <c r="A17" s="13" t="inlineStr">
        <is>
          <t>kitchen/terraces/facade/Engelmann Bauer</t>
        </is>
      </c>
      <c r="B17" s="56" t="n"/>
      <c r="C17" s="56" t="n"/>
      <c r="D17" s="56" t="n"/>
      <c r="E17" s="56" t="n"/>
      <c r="F17" s="56" t="n"/>
      <c r="G17" s="56" t="n"/>
      <c r="H17" s="1133" t="n"/>
      <c r="I17" s="1133" t="n"/>
      <c r="J17" s="1133" t="n"/>
      <c r="K17" s="1133" t="n">
        <v>-231851</v>
      </c>
      <c r="L17" s="1133" t="n"/>
      <c r="M17" s="1133" t="n">
        <v>-347953</v>
      </c>
      <c r="N17" s="1133" t="n"/>
      <c r="O17" s="1133" t="n"/>
      <c r="P17" s="1133" t="n">
        <v>-85568</v>
      </c>
      <c r="Q17" s="1133" t="n"/>
      <c r="R17" s="1133" t="n"/>
      <c r="S17" s="1133" t="n">
        <v>-267200</v>
      </c>
      <c r="T17" s="1133" t="n"/>
      <c r="U17" s="1133" t="n"/>
      <c r="V17" s="1133" t="n"/>
      <c r="W17" s="1133" t="n"/>
      <c r="X17" s="1133" t="n"/>
      <c r="Y17" s="1133" t="n"/>
      <c r="Z17" s="1133" t="n">
        <v>-138216</v>
      </c>
      <c r="AA17" s="1134" t="n"/>
      <c r="AB17" s="1134" t="n"/>
      <c r="AC17" s="1137" t="n">
        <v>-150000</v>
      </c>
      <c r="AD17" s="1138">
        <f>SUM(AA17:AC17)</f>
        <v/>
      </c>
      <c r="AE17" s="53" t="n"/>
    </row>
    <row r="18" ht="24" customHeight="1" s="799">
      <c r="A18" s="13" t="inlineStr">
        <is>
          <t>sales Fee, property management</t>
        </is>
      </c>
      <c r="B18" s="56" t="n"/>
      <c r="C18" s="56" t="n"/>
      <c r="D18" s="56" t="n"/>
      <c r="E18" s="56" t="n"/>
      <c r="F18" s="56" t="n"/>
      <c r="G18" s="56" t="n"/>
      <c r="H18" s="1133" t="n"/>
      <c r="I18" s="1133" t="n"/>
      <c r="J18" s="1133" t="n"/>
      <c r="K18" s="1133" t="n"/>
      <c r="L18" s="1133" t="n"/>
      <c r="M18" s="1133" t="n"/>
      <c r="N18" s="1133" t="n"/>
      <c r="O18" s="1133" t="n"/>
      <c r="P18" s="1133" t="n"/>
      <c r="Q18" s="1133" t="n">
        <v>-24550.24</v>
      </c>
      <c r="R18" s="1133" t="n"/>
      <c r="S18" s="1133" t="n">
        <v>-172961</v>
      </c>
      <c r="T18" s="1133" t="n">
        <v>-80000</v>
      </c>
      <c r="U18" s="1133" t="n"/>
      <c r="V18" s="1133">
        <f>-157200-52422</f>
        <v/>
      </c>
      <c r="W18" s="1133">
        <f>-372623-283800</f>
        <v/>
      </c>
      <c r="X18" s="1133" t="n">
        <v>-110000</v>
      </c>
      <c r="Y18" s="1133" t="n"/>
      <c r="Z18" s="1133" t="n">
        <v>-353531</v>
      </c>
      <c r="AA18" s="1134">
        <f>-50000-30000</f>
        <v/>
      </c>
      <c r="AB18" s="1134">
        <f>-50000-30000</f>
        <v/>
      </c>
      <c r="AC18" s="1134">
        <f>-50000-30000</f>
        <v/>
      </c>
      <c r="AD18" s="1138">
        <f>SUM(AA18:AC18)</f>
        <v/>
      </c>
      <c r="AE18" s="53" t="n"/>
    </row>
    <row r="19" ht="20" customHeight="1" s="799">
      <c r="A19" s="13" t="inlineStr">
        <is>
          <t>Development Cost</t>
        </is>
      </c>
      <c r="B19" s="56" t="n"/>
      <c r="C19" s="56" t="n"/>
      <c r="D19" s="56" t="n"/>
      <c r="E19" s="56" t="n"/>
      <c r="F19" s="56" t="n"/>
      <c r="G19" s="56" t="n"/>
      <c r="H19" s="1133" t="n"/>
      <c r="I19" s="1133" t="n">
        <v>-375098</v>
      </c>
      <c r="J19" s="1133" t="n">
        <v>-348820</v>
      </c>
      <c r="K19" s="1133">
        <f>-573519+122058</f>
        <v/>
      </c>
      <c r="L19" s="1133" t="n">
        <v>-305755</v>
      </c>
      <c r="M19" s="1133">
        <f>-505196-170066+20595-162965</f>
        <v/>
      </c>
      <c r="N19" s="1133" t="n">
        <v>-365175</v>
      </c>
      <c r="O19" s="1133" t="n">
        <v>-357968</v>
      </c>
      <c r="P19" s="1133" t="n">
        <v>-319469</v>
      </c>
      <c r="Q19" s="1133">
        <f>-864623-Q18-Q20-Q22</f>
        <v/>
      </c>
      <c r="R19" s="1133">
        <f>-435082-262600</f>
        <v/>
      </c>
      <c r="S19" s="1133" t="n">
        <v>-296047</v>
      </c>
      <c r="T19" s="1133">
        <f>-455408+80000</f>
        <v/>
      </c>
      <c r="U19" s="1133">
        <f>-277711.72-4000-3220-900-4410-68920.4</f>
        <v/>
      </c>
      <c r="V19" s="1133">
        <f>-200522-416726</f>
        <v/>
      </c>
      <c r="W19" s="1133">
        <f>-308527+41400</f>
        <v/>
      </c>
      <c r="X19" s="1133" t="n">
        <v>-385141</v>
      </c>
      <c r="Y19" s="1133" t="n">
        <v>-173180</v>
      </c>
      <c r="Z19" s="1133" t="n">
        <v>-237256</v>
      </c>
      <c r="AA19" s="1134" t="n">
        <v>-350000</v>
      </c>
      <c r="AB19" s="1134" t="n">
        <v>-350000</v>
      </c>
      <c r="AC19" s="1134" t="n">
        <v>-350000</v>
      </c>
      <c r="AD19" s="1138">
        <f>SUM(AA19:AC19)</f>
        <v/>
      </c>
      <c r="AE19" s="53" t="n"/>
    </row>
    <row r="20" ht="20" customHeight="1" s="799">
      <c r="A20" s="67" t="inlineStr">
        <is>
          <t xml:space="preserve">Art </t>
        </is>
      </c>
      <c r="B20" s="56" t="n"/>
      <c r="C20" s="56" t="n"/>
      <c r="D20" s="56" t="n"/>
      <c r="E20" s="56" t="n"/>
      <c r="F20" s="56" t="n"/>
      <c r="G20" s="56" t="n"/>
      <c r="H20" s="1133" t="n"/>
      <c r="I20" s="1133" t="n"/>
      <c r="J20" s="1133" t="n"/>
      <c r="K20" s="1133" t="n"/>
      <c r="L20" s="1133" t="n"/>
      <c r="M20" s="1133">
        <f>-40147-7095</f>
        <v/>
      </c>
      <c r="N20" s="1133" t="n"/>
      <c r="O20" s="1133">
        <f>-44858</f>
        <v/>
      </c>
      <c r="P20" s="1133">
        <f>-17700-13062-7440-4655-71168</f>
        <v/>
      </c>
      <c r="Q20" s="1133" t="n">
        <v>-31112</v>
      </c>
      <c r="R20" s="1133" t="n">
        <v>-4903</v>
      </c>
      <c r="S20" s="1133" t="n"/>
      <c r="T20" s="1133" t="n">
        <v>-21669</v>
      </c>
      <c r="U20" s="1133">
        <f>-4023-4727-13110-19200</f>
        <v/>
      </c>
      <c r="V20" s="1133">
        <f>-19200-44599</f>
        <v/>
      </c>
      <c r="W20" s="1133" t="n"/>
      <c r="X20" s="1133" t="n"/>
      <c r="Y20" s="1133" t="n"/>
      <c r="Z20" s="1133" t="n"/>
      <c r="AA20" s="1134" t="n"/>
      <c r="AB20" s="1134" t="n"/>
      <c r="AC20" s="1137" t="n"/>
      <c r="AD20" s="1138">
        <f>SUM(AA20:AC20)</f>
        <v/>
      </c>
      <c r="AE20" s="53" t="n"/>
    </row>
    <row r="21" ht="20" customHeight="1" s="799">
      <c r="A21" s="13" t="inlineStr">
        <is>
          <t>OS&amp;E,fitness including VAT</t>
        </is>
      </c>
      <c r="B21" s="56" t="n"/>
      <c r="C21" s="56" t="n"/>
      <c r="D21" s="56" t="n"/>
      <c r="E21" s="56" t="n"/>
      <c r="F21" s="56" t="n"/>
      <c r="G21" s="56" t="n"/>
      <c r="H21" s="1133" t="n"/>
      <c r="I21" s="1133" t="n"/>
      <c r="J21" s="1133" t="n"/>
      <c r="K21" s="1133" t="n"/>
      <c r="L21" s="1133" t="n"/>
      <c r="M21" s="1133">
        <f>-460000-600000</f>
        <v/>
      </c>
      <c r="N21" s="1133" t="n">
        <v>-465000</v>
      </c>
      <c r="O21" s="1133" t="n"/>
      <c r="P21" s="1133">
        <f>-775000-76307</f>
        <v/>
      </c>
      <c r="Q21" s="1133" t="n"/>
      <c r="R21" s="1133" t="n">
        <v>-150000</v>
      </c>
      <c r="S21" s="1133" t="n">
        <v>-55279</v>
      </c>
      <c r="T21" s="1133">
        <f>-150000-68010-21364</f>
        <v/>
      </c>
      <c r="U21" s="1133">
        <f>-104979.13-15625</f>
        <v/>
      </c>
      <c r="V21" s="1133" t="n">
        <v>-55279</v>
      </c>
      <c r="W21" s="1133" t="n"/>
      <c r="X21" s="1133" t="n">
        <v>-11513</v>
      </c>
      <c r="Y21" s="1133" t="n">
        <v>-18426</v>
      </c>
      <c r="Z21" s="1133" t="n"/>
      <c r="AA21" s="1134" t="n"/>
      <c r="AB21" s="1134" t="n"/>
      <c r="AC21" s="1137" t="n"/>
      <c r="AD21" s="1138">
        <f>SUM(AA21:AC21)</f>
        <v/>
      </c>
      <c r="AE21" s="53" t="n"/>
    </row>
    <row r="22" ht="20" customHeight="1" s="799">
      <c r="A22" s="13" t="inlineStr">
        <is>
          <t>IT</t>
        </is>
      </c>
      <c r="B22" s="56" t="n"/>
      <c r="C22" s="56" t="n"/>
      <c r="D22" s="56" t="n"/>
      <c r="E22" s="56" t="n"/>
      <c r="F22" s="56" t="n"/>
      <c r="G22" s="56" t="n"/>
      <c r="H22" s="1133" t="n"/>
      <c r="I22" s="1133" t="n"/>
      <c r="J22" s="1133" t="n"/>
      <c r="K22" s="1133" t="n">
        <v>-122058</v>
      </c>
      <c r="L22" s="1133">
        <f>-134603-181082</f>
        <v/>
      </c>
      <c r="M22" s="1133">
        <f>-20595-9159-79676-115750-6903</f>
        <v/>
      </c>
      <c r="N22" s="1133" t="n"/>
      <c r="O22" s="1133" t="n"/>
      <c r="P22" s="1133">
        <f>-61091-23002</f>
        <v/>
      </c>
      <c r="Q22" s="1133">
        <f>-9669-189687-71481-17142</f>
        <v/>
      </c>
      <c r="R22" s="1133">
        <f>-60759-211545</f>
        <v/>
      </c>
      <c r="S22" s="1133">
        <f>-68021-254865</f>
        <v/>
      </c>
      <c r="T22" s="1133" t="n">
        <v>-28068</v>
      </c>
      <c r="U22" s="1133">
        <f>-48813.69-225.98-4105.5-7887.27-6791.85-11196</f>
        <v/>
      </c>
      <c r="V22" s="1133" t="n">
        <v>-59541</v>
      </c>
      <c r="W22" s="1133" t="n">
        <v>-180827</v>
      </c>
      <c r="X22" s="1133" t="n">
        <v>-262812</v>
      </c>
      <c r="Y22" s="1133" t="n">
        <v>-102544</v>
      </c>
      <c r="Z22" s="1133" t="n"/>
      <c r="AA22" s="1134" t="n"/>
      <c r="AB22" s="1134" t="n"/>
      <c r="AC22" s="1137" t="n"/>
      <c r="AD22" s="1138">
        <f>SUM(AA22:AC22)</f>
        <v/>
      </c>
      <c r="AE22" s="53" t="n"/>
    </row>
    <row r="23" ht="22.25" customHeight="1" s="799">
      <c r="A23" s="13" t="inlineStr">
        <is>
          <t>Mandarin Pre-Opening employees</t>
        </is>
      </c>
      <c r="B23" s="56" t="n"/>
      <c r="C23" s="56" t="n"/>
      <c r="D23" s="56" t="n"/>
      <c r="E23" s="56" t="n"/>
      <c r="F23" s="56" t="n"/>
      <c r="G23" s="56" t="n"/>
      <c r="H23" s="1133" t="n">
        <v>-250000</v>
      </c>
      <c r="I23" s="1133" t="n"/>
      <c r="J23" s="1133" t="n"/>
      <c r="K23" s="1133" t="n"/>
      <c r="L23" s="1133" t="n">
        <v>-100000</v>
      </c>
      <c r="M23" s="1133" t="n">
        <v>-300000</v>
      </c>
      <c r="N23" s="1133" t="n"/>
      <c r="O23" s="1133" t="n">
        <v>-150000</v>
      </c>
      <c r="P23" s="1133" t="n">
        <v>-200000</v>
      </c>
      <c r="Q23" s="1133" t="n">
        <v>-390000</v>
      </c>
      <c r="R23" s="1133" t="n">
        <v>-371000</v>
      </c>
      <c r="S23" s="1133" t="n">
        <v>-850000</v>
      </c>
      <c r="T23" s="1133" t="n">
        <v>-817000</v>
      </c>
      <c r="U23" s="1133" t="n">
        <v>-890000</v>
      </c>
      <c r="V23" s="1133" t="n">
        <v>-1400000</v>
      </c>
      <c r="W23" s="1133" t="n"/>
      <c r="X23" s="1133" t="n"/>
      <c r="Y23" s="1133" t="n"/>
      <c r="Z23" s="1133" t="n"/>
      <c r="AA23" s="1134" t="n">
        <v>-225000</v>
      </c>
      <c r="AB23" s="1134" t="n"/>
      <c r="AC23" s="1137" t="n"/>
      <c r="AD23" s="1138">
        <f>SUM(AA23:AC23)</f>
        <v/>
      </c>
      <c r="AE23" s="53" t="n"/>
    </row>
    <row r="24" ht="40" customHeight="1" s="799">
      <c r="A24" s="13" t="inlineStr">
        <is>
          <t>Mandarin Pre-Opening Marketing and other Costs / Consumables</t>
        </is>
      </c>
      <c r="B24" s="56" t="n"/>
      <c r="C24" s="56" t="n"/>
      <c r="D24" s="56" t="n"/>
      <c r="E24" s="56" t="n"/>
      <c r="F24" s="56" t="n"/>
      <c r="G24" s="56" t="n"/>
      <c r="H24" s="1133" t="inlineStr">
        <is>
          <t xml:space="preserve"> </t>
        </is>
      </c>
      <c r="I24" s="1133" t="n"/>
      <c r="J24" s="1133" t="n"/>
      <c r="K24" s="1133" t="n"/>
      <c r="L24" s="1133" t="n"/>
      <c r="M24" s="1133" t="n">
        <v>-180000</v>
      </c>
      <c r="N24" s="1133" t="n"/>
      <c r="O24" s="1133" t="n">
        <v>-160000</v>
      </c>
      <c r="P24" s="1133" t="n">
        <v>-150000</v>
      </c>
      <c r="Q24" s="1133" t="n">
        <v>-415000</v>
      </c>
      <c r="R24" s="1133" t="n">
        <v>-370000</v>
      </c>
      <c r="S24" s="1133" t="n">
        <v>-195000</v>
      </c>
      <c r="T24" s="1133" t="n">
        <v>-433000</v>
      </c>
      <c r="U24" s="1133" t="n">
        <v>-110000</v>
      </c>
      <c r="V24" s="1133" t="n">
        <v>-400000</v>
      </c>
      <c r="W24" s="1133" t="n">
        <v>-175000</v>
      </c>
      <c r="X24" s="1133" t="n"/>
      <c r="Y24" s="1133" t="n"/>
      <c r="Z24" s="1133" t="n"/>
      <c r="AA24" s="1134" t="n"/>
      <c r="AB24" s="1134" t="n"/>
      <c r="AC24" s="1137" t="n"/>
      <c r="AD24" s="1138">
        <f>SUM(AA24:AC24)</f>
        <v/>
      </c>
      <c r="AE24" s="53" t="n"/>
    </row>
    <row r="25" ht="27" customHeight="1" s="799">
      <c r="A25" s="13" t="inlineStr">
        <is>
          <t>Working Capital liquidity Hotel</t>
        </is>
      </c>
      <c r="B25" s="56" t="n"/>
      <c r="C25" s="56" t="n"/>
      <c r="D25" s="56" t="n"/>
      <c r="E25" s="56" t="n"/>
      <c r="F25" s="56" t="n"/>
      <c r="G25" s="56" t="n"/>
      <c r="H25" s="1133" t="n"/>
      <c r="I25" s="1133" t="n"/>
      <c r="J25" s="1133" t="n"/>
      <c r="K25" s="1133" t="n"/>
      <c r="L25" s="1133" t="n"/>
      <c r="M25" s="1133" t="n"/>
      <c r="N25" s="1133" t="n"/>
      <c r="O25" s="1133" t="n"/>
      <c r="P25" s="1133" t="n"/>
      <c r="Q25" s="1133" t="n"/>
      <c r="R25" s="1133" t="n"/>
      <c r="S25" s="1133" t="n"/>
      <c r="T25" s="1133" t="n"/>
      <c r="U25" s="1133" t="n"/>
      <c r="V25" s="1133" t="n"/>
      <c r="W25" s="1133" t="n"/>
      <c r="X25" s="1133" t="n"/>
      <c r="Y25" s="1133" t="n"/>
      <c r="Z25" s="1133" t="n"/>
      <c r="AA25" s="1134" t="n">
        <v>-600000</v>
      </c>
      <c r="AB25" s="1134" t="n"/>
      <c r="AC25" s="1137" t="n"/>
      <c r="AD25" s="1138">
        <f>SUM(AA25:AC25)</f>
        <v/>
      </c>
      <c r="AE25" s="53" t="n"/>
    </row>
    <row r="26" ht="40" customHeight="1" s="799">
      <c r="A26" s="13" t="inlineStr">
        <is>
          <t>Interest Reserve have to be finance from Equity or Sales only</t>
        </is>
      </c>
      <c r="B26" s="56" t="n"/>
      <c r="C26" s="56" t="n"/>
      <c r="D26" s="56" t="n"/>
      <c r="E26" s="1133" t="n">
        <v>-3375000</v>
      </c>
      <c r="F26" s="56" t="n"/>
      <c r="G26" s="56" t="n"/>
      <c r="H26" s="64" t="n"/>
      <c r="I26" s="64" t="n"/>
      <c r="J26" s="64" t="n"/>
      <c r="K26" s="1133" t="n">
        <v>-4040000</v>
      </c>
      <c r="L26" s="1133" t="n"/>
      <c r="M26" s="1133" t="n"/>
      <c r="N26" s="1133" t="n"/>
      <c r="O26" s="1133" t="n"/>
      <c r="P26" s="1133" t="n"/>
      <c r="Q26" s="1133" t="n"/>
      <c r="R26" s="1133" t="n"/>
      <c r="S26" s="1133" t="n"/>
      <c r="T26" s="1133" t="n">
        <v>-2035640</v>
      </c>
      <c r="U26" s="1133" t="n"/>
      <c r="V26" s="1133" t="n"/>
      <c r="W26" s="1133" t="n">
        <v>-2013500</v>
      </c>
      <c r="X26" s="1133" t="n"/>
      <c r="Y26" s="1133" t="n"/>
      <c r="Z26" s="1133" t="n">
        <v>-1775963.81</v>
      </c>
      <c r="AA26" s="1134" t="n"/>
      <c r="AB26" s="1134" t="n"/>
      <c r="AC26" s="1137" t="n">
        <v>-1600000</v>
      </c>
      <c r="AD26" s="1138">
        <f>SUM(AA26:AC26)</f>
        <v/>
      </c>
      <c r="AE26" s="53" t="n"/>
    </row>
    <row r="27" ht="20" customHeight="1" s="799">
      <c r="A27" s="13" t="inlineStr">
        <is>
          <t>VAT and Taxes</t>
        </is>
      </c>
      <c r="B27" s="56" t="n"/>
      <c r="C27" s="56" t="n"/>
      <c r="D27" s="56" t="n"/>
      <c r="E27" s="56" t="n"/>
      <c r="F27" s="1133" t="n">
        <v>-1132500</v>
      </c>
      <c r="G27" s="1133">
        <f>1132500+0.5*0.2*(H15+((H9+H11+H13)*0.2))</f>
        <v/>
      </c>
      <c r="H27" s="1133">
        <f>0.5*0.2*(H15+H17+((H9+H10+H11+H13+H12)*0.2))</f>
        <v/>
      </c>
      <c r="I27" s="1133">
        <f>0.5*0.2*(I15+I17+((I9+I10+I11+I13+I12)*0.2))</f>
        <v/>
      </c>
      <c r="J27" s="1133">
        <f>0.5*0.2*(J15+J17+((J9+J10+J11+J13+J12)*0.2))</f>
        <v/>
      </c>
      <c r="K27" s="1133">
        <f>0.5*0.2*(K15+K17+((K9+K10+K11+K13+K12)*0.2))</f>
        <v/>
      </c>
      <c r="L27" s="1133">
        <f>0.5*0.2*(L15+L17+((L9+L10+L11+L13+L12)*0.2))</f>
        <v/>
      </c>
      <c r="M27" s="1133">
        <f>0.5*0.2*(M15+M17+((M9+M10+M11+M13+M12)*0.2))</f>
        <v/>
      </c>
      <c r="N27" s="1133">
        <f>0.5*0.2*(N15+N17+((N9+N10+N11+N13+N12)*0.2))</f>
        <v/>
      </c>
      <c r="O27" s="1133">
        <f>0.5*0.2*(O15+O17+((O9+O10+O11+O13+O12)*0.2))</f>
        <v/>
      </c>
      <c r="P27" s="1133">
        <f>0.5*0.2*(P15+P17+((P9+P10+P11+P13+P12)*0.2))</f>
        <v/>
      </c>
      <c r="Q27" s="1133">
        <f>0.5*0.2*(Q15+Q17+((Q9+Q10+Q11+Q13+Q12)*0.2))</f>
        <v/>
      </c>
      <c r="R27" s="1133">
        <f>0.5*0.2*(R15+R17+((R9+R10+R11+R13+R12)*0.2))</f>
        <v/>
      </c>
      <c r="S27" s="1133">
        <f>0.5*0.2*(S15+S17+((S9+S10+S11+S13+S12)*0.2))</f>
        <v/>
      </c>
      <c r="T27" s="1133">
        <f>0.5*0.2*(T15+T17+((T9+T10+T11+T13+T12)*0.2))</f>
        <v/>
      </c>
      <c r="U27" s="1133">
        <f>0.5*0.2*(U15+U17+((U9+U10+U11+U13+U12)*0.2))</f>
        <v/>
      </c>
      <c r="V27" s="1133">
        <f>0.5*0.2*(V15+V17+((V9+V10+V11+V13+V12)*0.2))</f>
        <v/>
      </c>
      <c r="W27" s="1133">
        <f>0.5*0.2*(W15+W17+((W9+W10+W11+W13+W12)*0.2))</f>
        <v/>
      </c>
      <c r="X27" s="1133">
        <f>0.5*0.2*(X15+X17+((X9+X10+X11+X13+X12)*0.2))</f>
        <v/>
      </c>
      <c r="Y27" s="1133">
        <f>-4430118-1339684</f>
        <v/>
      </c>
      <c r="Z27" s="1133" t="n"/>
      <c r="AA27" s="1133" t="n">
        <v>-219000</v>
      </c>
      <c r="AB27" s="1133" t="n"/>
      <c r="AC27" s="1133" t="n"/>
      <c r="AD27" s="1138">
        <f>SUM(AA27:AC27)</f>
        <v/>
      </c>
    </row>
    <row r="28" ht="21" customFormat="1" customHeight="1" s="6" thickBot="1">
      <c r="A28" s="22" t="inlineStr">
        <is>
          <t>Total Payments</t>
        </is>
      </c>
      <c r="B28" s="1140">
        <f>SUM(B9:B27)</f>
        <v/>
      </c>
      <c r="C28" s="1140">
        <f>SUM(C9:C27)</f>
        <v/>
      </c>
      <c r="D28" s="1140">
        <f>SUM(D9:D27)</f>
        <v/>
      </c>
      <c r="E28" s="1140">
        <f>SUM(E9:E27)</f>
        <v/>
      </c>
      <c r="F28" s="1140">
        <f>SUM(F9:F27)</f>
        <v/>
      </c>
      <c r="G28" s="1140">
        <f>SUM(G9:G27)</f>
        <v/>
      </c>
      <c r="H28" s="1140">
        <f>SUM(H9:H27)</f>
        <v/>
      </c>
      <c r="I28" s="1140">
        <f>SUM(I9:I27)</f>
        <v/>
      </c>
      <c r="J28" s="1140">
        <f>SUM(J9:J27)</f>
        <v/>
      </c>
      <c r="K28" s="1140">
        <f>SUM(K9:K27)</f>
        <v/>
      </c>
      <c r="L28" s="1140">
        <f>SUM(L9:L27)</f>
        <v/>
      </c>
      <c r="M28" s="1140">
        <f>SUM(M9:M27)</f>
        <v/>
      </c>
      <c r="N28" s="1140">
        <f>SUM(N9:N27)</f>
        <v/>
      </c>
      <c r="O28" s="1140">
        <f>SUM(O9:O27)</f>
        <v/>
      </c>
      <c r="P28" s="1140">
        <f>SUM(P9:P27)</f>
        <v/>
      </c>
      <c r="Q28" s="1140">
        <f>SUM(Q9:Q27)</f>
        <v/>
      </c>
      <c r="R28" s="1140">
        <f>SUM(R9:R27)</f>
        <v/>
      </c>
      <c r="S28" s="1140">
        <f>SUM(S9:S27)</f>
        <v/>
      </c>
      <c r="T28" s="1141">
        <f>SUM(T9:T27)</f>
        <v/>
      </c>
      <c r="U28" s="1141">
        <f>SUM(U9:U27)</f>
        <v/>
      </c>
      <c r="V28" s="1141">
        <f>SUM(V9:V27)</f>
        <v/>
      </c>
      <c r="W28" s="1141">
        <f>SUM(W9:W27)</f>
        <v/>
      </c>
      <c r="X28" s="1141">
        <f>SUM(X9:X27)</f>
        <v/>
      </c>
      <c r="Y28" s="1141">
        <f>SUM(Y9:Y27)</f>
        <v/>
      </c>
      <c r="Z28" s="1141">
        <f>SUM(Z9:Z27)</f>
        <v/>
      </c>
      <c r="AA28" s="1141">
        <f>SUM(AA9:AA27)</f>
        <v/>
      </c>
      <c r="AB28" s="1141">
        <f>SUM(AB9:AB27)</f>
        <v/>
      </c>
      <c r="AC28" s="1141">
        <f>SUM(AC9:AC27)</f>
        <v/>
      </c>
      <c r="AD28" s="1142">
        <f>SUM(AD9:AD27)</f>
        <v/>
      </c>
    </row>
    <row r="29" ht="20" customHeight="1" s="799" thickBot="1">
      <c r="A29" s="25" t="n"/>
      <c r="B29" s="55" t="n"/>
      <c r="C29" s="55" t="n"/>
      <c r="D29" s="55" t="n"/>
      <c r="E29" s="55" t="n"/>
      <c r="F29" s="55" t="n"/>
      <c r="G29" s="55" t="n"/>
      <c r="H29" s="49" t="n"/>
      <c r="I29" s="49" t="n"/>
      <c r="J29" s="49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AD29" s="27" t="n"/>
    </row>
    <row r="30" ht="20" customFormat="1" customHeight="1" s="6">
      <c r="A30" s="12" t="inlineStr">
        <is>
          <t>Sources</t>
        </is>
      </c>
      <c r="B30" s="54" t="n"/>
      <c r="C30" s="54" t="n"/>
      <c r="D30" s="54" t="n"/>
      <c r="E30" s="54" t="n"/>
      <c r="F30" s="54" t="n"/>
      <c r="G30" s="54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21" t="n"/>
    </row>
    <row r="31" ht="20" customHeight="1" s="799">
      <c r="A31" s="13" t="inlineStr">
        <is>
          <t>Sales</t>
        </is>
      </c>
      <c r="B31" s="58" t="n"/>
      <c r="C31" s="58" t="n"/>
      <c r="D31" s="58" t="n">
        <v>3800000</v>
      </c>
      <c r="E31" s="58" t="n"/>
      <c r="F31" s="58" t="n"/>
      <c r="G31" s="58" t="n"/>
      <c r="H31" s="1133" t="n"/>
      <c r="I31" s="1133" t="n"/>
      <c r="J31" s="1133" t="n"/>
      <c r="K31" s="1133" t="n"/>
      <c r="L31" s="1133" t="n"/>
      <c r="M31" s="1133" t="n"/>
      <c r="N31" s="1133" t="n"/>
      <c r="O31" s="1133" t="n"/>
      <c r="P31" s="1133" t="n"/>
      <c r="Q31" s="1133" t="n"/>
      <c r="R31" s="1133" t="n">
        <v>6000000</v>
      </c>
      <c r="S31" s="1133" t="n"/>
      <c r="T31" s="1133" t="n"/>
      <c r="U31" s="1133" t="n"/>
      <c r="V31" s="1133" t="n"/>
      <c r="W31" s="1133" t="n">
        <v>3120000</v>
      </c>
      <c r="X31" s="1133" t="n"/>
      <c r="Y31" s="1133" t="n">
        <v>4430118</v>
      </c>
      <c r="Z31" s="1133" t="n"/>
      <c r="AA31" s="1136" t="n"/>
      <c r="AB31" s="1136" t="n"/>
      <c r="AC31" s="1136" t="n"/>
      <c r="AD31" s="35">
        <f>SUM(AA31:AC31)</f>
        <v/>
      </c>
    </row>
    <row r="32" ht="40" customHeight="1" s="799">
      <c r="A32" s="13" t="inlineStr">
        <is>
          <t>Special Requests, interests Cupial, Sales Fee</t>
        </is>
      </c>
      <c r="B32" s="58" t="n"/>
      <c r="C32" s="58" t="n"/>
      <c r="D32" s="58" t="n"/>
      <c r="E32" s="58" t="n"/>
      <c r="F32" s="58" t="n"/>
      <c r="G32" s="58" t="n"/>
      <c r="H32" s="1133" t="n">
        <v>110000</v>
      </c>
      <c r="I32" s="1133" t="n">
        <v>50000</v>
      </c>
      <c r="J32" s="1133" t="n">
        <v>66000</v>
      </c>
      <c r="K32" s="1133" t="n"/>
      <c r="L32" s="1133" t="n"/>
      <c r="M32" s="1133" t="n"/>
      <c r="N32" s="1133" t="n">
        <v>48546</v>
      </c>
      <c r="O32" s="1133" t="n"/>
      <c r="P32" s="1133" t="n"/>
      <c r="Q32" s="1133" t="n"/>
      <c r="R32" s="1133" t="n"/>
      <c r="S32" s="1133" t="n">
        <v>276200</v>
      </c>
      <c r="T32" s="1133" t="n"/>
      <c r="U32" s="1133" t="n"/>
      <c r="V32" s="1133" t="n"/>
      <c r="W32" s="1133">
        <f>1491944+283800-41400+22631+11720</f>
        <v/>
      </c>
      <c r="X32" s="1133" t="n">
        <v>132000</v>
      </c>
      <c r="Y32" s="1133" t="n"/>
      <c r="Z32" s="1133" t="n">
        <v>482566</v>
      </c>
      <c r="AA32" s="1134" t="n"/>
      <c r="AB32" s="1134" t="n">
        <v>100000</v>
      </c>
      <c r="AC32" s="1134" t="n"/>
      <c r="AD32" s="35">
        <f>SUM(AA32:AC32)</f>
        <v/>
      </c>
      <c r="AE32" s="53" t="n"/>
    </row>
    <row r="33" ht="40" customHeight="1" s="799">
      <c r="A33" s="13" t="inlineStr">
        <is>
          <t>Release of Cash LIST, HAG 5% retention money</t>
        </is>
      </c>
      <c r="B33" s="58" t="n"/>
      <c r="C33" s="58" t="n"/>
      <c r="D33" s="58" t="n"/>
      <c r="E33" s="58" t="n"/>
      <c r="F33" s="58" t="n"/>
      <c r="G33" s="58" t="n"/>
      <c r="H33" s="64" t="n"/>
      <c r="I33" s="64" t="n"/>
      <c r="J33" s="64" t="n"/>
      <c r="K33" s="1133">
        <f>-(K9+K10+K11)*0.05</f>
        <v/>
      </c>
      <c r="L33" s="1133">
        <f>-(L9+L10+L11)*0.05</f>
        <v/>
      </c>
      <c r="M33" s="1133">
        <f>-(M9+M10+M11)*0.05</f>
        <v/>
      </c>
      <c r="N33" s="1133">
        <f>-(N9+N10+N11)*0.05</f>
        <v/>
      </c>
      <c r="O33" s="1133">
        <f>-(O9+O10+O11)*0.05</f>
        <v/>
      </c>
      <c r="P33" s="1133">
        <f>-(P9+P10+P11)*0.05</f>
        <v/>
      </c>
      <c r="Q33" s="1133">
        <f>-(Q9+Q10+Q11)*0.05</f>
        <v/>
      </c>
      <c r="R33" s="1133">
        <f>-(R9+R10+R11)*0.05</f>
        <v/>
      </c>
      <c r="S33" s="1133">
        <f>-(S9+S10+S11)*0.05</f>
        <v/>
      </c>
      <c r="T33" s="1133">
        <f>-(T9+T10+T11+T12)*0.05+4500000</f>
        <v/>
      </c>
      <c r="U33" s="1133">
        <f>-(U9+U10+U11+U12)*0.05</f>
        <v/>
      </c>
      <c r="V33" s="1133" t="n"/>
      <c r="W33" s="1133" t="n"/>
      <c r="X33" s="1133" t="n"/>
      <c r="Y33" s="1133" t="n"/>
      <c r="Z33" s="1133" t="n"/>
      <c r="AA33" s="1134" t="n"/>
      <c r="AB33" s="1134" t="n"/>
      <c r="AC33" s="1134" t="n"/>
      <c r="AD33" s="35">
        <f>SUM(AA33:AC33)</f>
        <v/>
      </c>
    </row>
    <row r="34" ht="20" customFormat="1" customHeight="1" s="9">
      <c r="A34" s="14" t="inlineStr">
        <is>
          <t>Equity</t>
        </is>
      </c>
      <c r="B34" s="58" t="n"/>
      <c r="C34" s="58" t="n">
        <v>610000</v>
      </c>
      <c r="D34" s="58" t="n"/>
      <c r="E34" s="58" t="n">
        <v>4320000</v>
      </c>
      <c r="F34" s="58" t="n"/>
      <c r="G34" s="58" t="n">
        <v>2100000</v>
      </c>
      <c r="H34" s="50">
        <f>1700000-H23</f>
        <v/>
      </c>
      <c r="I34" s="50">
        <f>450000+550000-I23-I24</f>
        <v/>
      </c>
      <c r="J34" s="50">
        <f>825000+1845000+1390000</f>
        <v/>
      </c>
      <c r="K34" s="50" t="n">
        <v>4040000</v>
      </c>
      <c r="L34" s="50">
        <f>460000+2000000+2930000-L23-L24-L26</f>
        <v/>
      </c>
      <c r="M34" s="50">
        <f>-M23-M24</f>
        <v/>
      </c>
      <c r="N34" s="50">
        <f>485000-N23-N24</f>
        <v/>
      </c>
      <c r="O34" s="50">
        <f>72000-O23-O24</f>
        <v/>
      </c>
      <c r="P34" s="50">
        <f>985000-P23-P24</f>
        <v/>
      </c>
      <c r="Q34" s="50">
        <f>74191-Q23-Q24-Q26</f>
        <v/>
      </c>
      <c r="R34" s="50">
        <f>5000000+13841+197789-R23-R24-R26</f>
        <v/>
      </c>
      <c r="S34" s="50">
        <f>110200-S23-S24-S26</f>
        <v/>
      </c>
      <c r="T34" s="1133">
        <f>265300-T23-T24-T26</f>
        <v/>
      </c>
      <c r="U34" s="1133">
        <f>243000+951000-U23-U24-U26-U25</f>
        <v/>
      </c>
      <c r="V34" s="1133">
        <f>215500+34000-V23-V24-V26-V25</f>
        <v/>
      </c>
      <c r="W34" s="1133">
        <f>28100+500000-W23-W24-W25</f>
        <v/>
      </c>
      <c r="X34" s="1133">
        <f>-X23-X24-X26-X25</f>
        <v/>
      </c>
      <c r="Y34" s="1133">
        <f>121000-Y23-Y24-Y26-Y25</f>
        <v/>
      </c>
      <c r="Z34" s="1133">
        <f>2500000-Z23-Z24-Z25</f>
        <v/>
      </c>
      <c r="AA34" s="1133" t="n">
        <v>2000000</v>
      </c>
      <c r="AB34" s="1133" t="n">
        <v>2000000</v>
      </c>
      <c r="AC34" s="1133" t="n">
        <v>3000000</v>
      </c>
      <c r="AD34" s="35">
        <f>SUM(AA34:AC34)</f>
        <v/>
      </c>
    </row>
    <row r="35" ht="20" customHeight="1" s="799">
      <c r="A35" s="13" t="inlineStr">
        <is>
          <t>Add. Auera Finance</t>
        </is>
      </c>
      <c r="B35" s="58" t="n">
        <v>7380000</v>
      </c>
      <c r="C35" s="58" t="n"/>
      <c r="D35" s="58" t="n"/>
      <c r="E35" s="58" t="n"/>
      <c r="F35" s="58" t="n">
        <v>10000000</v>
      </c>
      <c r="G35" s="58" t="n"/>
      <c r="H35" s="64" t="n"/>
      <c r="I35" s="64" t="n"/>
      <c r="J35" s="64" t="n"/>
      <c r="K35" s="64" t="n"/>
      <c r="L35" s="64" t="n"/>
      <c r="M35" s="58" t="n">
        <v>30000000</v>
      </c>
      <c r="N35" s="58" t="n"/>
      <c r="O35" s="58" t="n"/>
      <c r="P35" s="58" t="n"/>
      <c r="Q35" s="58" t="n"/>
      <c r="R35" s="58" t="n"/>
      <c r="S35" s="58" t="n"/>
      <c r="T35" s="1133" t="n"/>
      <c r="U35" s="1133" t="n"/>
      <c r="V35" s="1133" t="n"/>
      <c r="W35" s="1133" t="n"/>
      <c r="X35" s="1133" t="n"/>
      <c r="Y35" s="1133" t="n"/>
      <c r="Z35" s="1133" t="n"/>
      <c r="AA35" s="77" t="n"/>
      <c r="AB35" s="75" t="n"/>
      <c r="AC35" s="75" t="n"/>
      <c r="AD35" s="35">
        <f>SUM(X35:Z35)</f>
        <v/>
      </c>
    </row>
    <row r="36" ht="21" customFormat="1" customHeight="1" s="6" thickBot="1">
      <c r="A36" s="22" t="inlineStr">
        <is>
          <t>Total Finance</t>
        </is>
      </c>
      <c r="B36" s="51">
        <f>SUM(B31:B35)</f>
        <v/>
      </c>
      <c r="C36" s="51">
        <f>SUM(C31:C35)</f>
        <v/>
      </c>
      <c r="D36" s="51">
        <f>SUM(D31:D35)</f>
        <v/>
      </c>
      <c r="E36" s="51">
        <f>SUM(E31:E35)</f>
        <v/>
      </c>
      <c r="F36" s="51">
        <f>SUM(F31:F35)</f>
        <v/>
      </c>
      <c r="G36" s="51">
        <f>SUM(G31:G35)</f>
        <v/>
      </c>
      <c r="H36" s="51">
        <f>SUM(H31:H35)</f>
        <v/>
      </c>
      <c r="I36" s="51">
        <f>SUM(I31:I35)</f>
        <v/>
      </c>
      <c r="J36" s="51">
        <f>SUM(J31:J35)</f>
        <v/>
      </c>
      <c r="K36" s="51">
        <f>SUM(K31:K35)</f>
        <v/>
      </c>
      <c r="L36" s="51">
        <f>SUM(L31:L35)</f>
        <v/>
      </c>
      <c r="M36" s="51">
        <f>SUM(M31:M35)</f>
        <v/>
      </c>
      <c r="N36" s="51">
        <f>SUM(N31:N35)</f>
        <v/>
      </c>
      <c r="O36" s="51">
        <f>SUM(O31:O35)</f>
        <v/>
      </c>
      <c r="P36" s="51">
        <f>SUM(P31:P35)</f>
        <v/>
      </c>
      <c r="Q36" s="51">
        <f>SUM(Q31:Q35)</f>
        <v/>
      </c>
      <c r="R36" s="51">
        <f>SUM(R31:R35)</f>
        <v/>
      </c>
      <c r="S36" s="51">
        <f>SUM(S31:S35)</f>
        <v/>
      </c>
      <c r="T36" s="30">
        <f>SUM(T31:T35)</f>
        <v/>
      </c>
      <c r="U36" s="30">
        <f>SUM(U31:U35)</f>
        <v/>
      </c>
      <c r="V36" s="30">
        <f>SUM(V31:V35)</f>
        <v/>
      </c>
      <c r="W36" s="30">
        <f>SUM(W31:W35)</f>
        <v/>
      </c>
      <c r="X36" s="30">
        <f>SUM(X31:X35)</f>
        <v/>
      </c>
      <c r="Y36" s="30">
        <f>SUM(Y31:Y35)</f>
        <v/>
      </c>
      <c r="Z36" s="30">
        <f>SUM(Z31:Z35)</f>
        <v/>
      </c>
      <c r="AA36" s="30">
        <f>SUM(AA31:AA35)</f>
        <v/>
      </c>
      <c r="AB36" s="30">
        <f>SUM(AB31:AB35)</f>
        <v/>
      </c>
      <c r="AC36" s="30">
        <f>SUM(AC31:AC35)</f>
        <v/>
      </c>
      <c r="AD36" s="31">
        <f>SUM(AD31:AD35)</f>
        <v/>
      </c>
    </row>
    <row r="37" ht="20" customFormat="1" customHeight="1" s="5" thickBot="1">
      <c r="A37" s="32" t="n"/>
      <c r="B37" s="57" t="n"/>
      <c r="C37" s="57" t="n"/>
      <c r="D37" s="57" t="n"/>
      <c r="E37" s="57" t="n"/>
      <c r="F37" s="57" t="n"/>
      <c r="G37" s="57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33" t="n"/>
    </row>
    <row r="38" ht="21" customHeight="1" s="799" thickBot="1">
      <c r="A38" s="28" t="inlineStr">
        <is>
          <t>Balance at the end of period</t>
        </is>
      </c>
      <c r="B38" s="1143">
        <f>B6+B28+B36</f>
        <v/>
      </c>
      <c r="C38" s="1143">
        <f>C6+C28+C36</f>
        <v/>
      </c>
      <c r="D38" s="1143">
        <f>D6+D28+D36</f>
        <v/>
      </c>
      <c r="E38" s="1143">
        <f>E6+E28+E36</f>
        <v/>
      </c>
      <c r="F38" s="1143">
        <f>F6+F28+F36</f>
        <v/>
      </c>
      <c r="G38" s="1143">
        <f>G6+G28+G36</f>
        <v/>
      </c>
      <c r="H38" s="1143">
        <f>H6+H28+H36</f>
        <v/>
      </c>
      <c r="I38" s="1143">
        <f>I6+I28+I36</f>
        <v/>
      </c>
      <c r="J38" s="1143">
        <f>J6+J28+J36</f>
        <v/>
      </c>
      <c r="K38" s="1143">
        <f>K6+K28+K36</f>
        <v/>
      </c>
      <c r="L38" s="1143">
        <f>L6+L28+L36</f>
        <v/>
      </c>
      <c r="M38" s="1143">
        <f>M6+M28+M36</f>
        <v/>
      </c>
      <c r="N38" s="1143">
        <f>N6+N28+N36</f>
        <v/>
      </c>
      <c r="O38" s="1143">
        <f>O6+O28+O36</f>
        <v/>
      </c>
      <c r="P38" s="1143">
        <f>P6+P28+P36</f>
        <v/>
      </c>
      <c r="Q38" s="1143">
        <f>Q6+Q28+Q36</f>
        <v/>
      </c>
      <c r="R38" s="1143">
        <f>R6+R28+R36</f>
        <v/>
      </c>
      <c r="S38" s="1143">
        <f>S6+S28+S36</f>
        <v/>
      </c>
      <c r="T38" s="1143">
        <f>T6+T28+T36</f>
        <v/>
      </c>
      <c r="U38" s="1143">
        <f>U6+U28+U36</f>
        <v/>
      </c>
      <c r="V38" s="1143">
        <f>V6+V28+V36</f>
        <v/>
      </c>
      <c r="W38" s="1143">
        <f>W6+W28+W36</f>
        <v/>
      </c>
      <c r="X38" s="1143">
        <f>X6+X28+X36</f>
        <v/>
      </c>
      <c r="Y38" s="1143">
        <f>Y6+Y28+Y36</f>
        <v/>
      </c>
      <c r="Z38" s="1143">
        <f>Z6+Z28+Z36</f>
        <v/>
      </c>
      <c r="AA38" s="1144">
        <f>AA6+AA28+AA36</f>
        <v/>
      </c>
      <c r="AB38" s="1144">
        <f>AB6+AB28+AB36</f>
        <v/>
      </c>
      <c r="AC38" s="1144">
        <f>AC6+AC28+AC36</f>
        <v/>
      </c>
      <c r="AD38" s="1144">
        <f>AD6+AD28+AD36</f>
        <v/>
      </c>
    </row>
    <row r="40">
      <c r="A40" s="4" t="inlineStr">
        <is>
          <t>Comments</t>
        </is>
      </c>
      <c r="B40" s="3" t="inlineStr">
        <is>
          <t>MOHG marketing licence Fee 3,945 mio EUR due in Dec 2025 after handover of the apartments - not included in this CF!</t>
        </is>
      </c>
      <c r="C40" s="4" t="n"/>
      <c r="D40" s="4" t="n"/>
      <c r="E40" s="4" t="n"/>
      <c r="F40" s="4" t="n"/>
      <c r="G40" s="4" t="n"/>
    </row>
    <row r="41">
      <c r="B41" s="3" t="inlineStr">
        <is>
          <t>registration mortage Fee 2,0 mio EUR is not included - unclear when court decicion will occur</t>
        </is>
      </c>
      <c r="L41" s="3" t="n"/>
      <c r="S41" s="75" t="n"/>
    </row>
    <row r="42">
      <c r="B42" s="3" t="inlineStr">
        <is>
          <t>Hagenauer replacement cost for Hotel are not assessed yet</t>
        </is>
      </c>
      <c r="L42" s="3" t="n"/>
      <c r="V42" s="4" t="inlineStr">
        <is>
          <t xml:space="preserve">  </t>
        </is>
      </c>
    </row>
    <row r="43">
      <c r="B43" s="3" t="n"/>
      <c r="L43" s="3" t="n"/>
    </row>
    <row r="44">
      <c r="I44" s="1145" t="n"/>
      <c r="J44" s="1145" t="n"/>
      <c r="K44" s="1145" t="n"/>
      <c r="L44" s="3" t="n"/>
      <c r="M44" s="1145" t="n"/>
      <c r="N44" s="1145" t="n"/>
      <c r="O44" s="1145" t="n"/>
      <c r="P44" s="1145" t="n"/>
      <c r="Q44" s="1145" t="n"/>
      <c r="R44" s="1145" t="n"/>
      <c r="S44" s="1145" t="n"/>
      <c r="T44" s="1145" t="n"/>
      <c r="U44" s="1145" t="n"/>
      <c r="V44" s="1145" t="n"/>
      <c r="W44" s="1145" t="n"/>
      <c r="X44" s="1145" t="n"/>
      <c r="Y44" s="1145" t="n"/>
      <c r="Z44" s="1145" t="n"/>
      <c r="AA44" s="1145" t="n"/>
      <c r="AB44" s="1145" t="n"/>
      <c r="AC44" s="1145" t="n"/>
      <c r="AF44" s="1145" t="n"/>
    </row>
    <row r="45">
      <c r="L45" s="3" t="n"/>
    </row>
    <row r="46">
      <c r="B46" s="3" t="n"/>
    </row>
    <row r="50">
      <c r="R50" s="4" t="inlineStr">
        <is>
          <t xml:space="preserve"> </t>
        </is>
      </c>
    </row>
    <row r="52">
      <c r="I52" s="53" t="n"/>
      <c r="J52" s="53" t="n"/>
      <c r="K52" s="53" t="n"/>
      <c r="L52" s="53" t="n"/>
      <c r="M52" s="53" t="n"/>
      <c r="N52" s="53" t="n"/>
    </row>
    <row r="53">
      <c r="I53" s="53" t="n"/>
      <c r="J53" s="53" t="n"/>
      <c r="K53" s="53" t="n"/>
      <c r="L53" s="53" t="n"/>
      <c r="M53" s="53" t="n"/>
      <c r="N53" s="53" t="n"/>
    </row>
    <row r="54">
      <c r="I54" s="53" t="n"/>
      <c r="J54" s="53" t="n"/>
      <c r="K54" s="53" t="n"/>
      <c r="L54" s="53" t="n"/>
      <c r="M54" s="53" t="n"/>
      <c r="N54" s="53" t="n"/>
    </row>
    <row r="55">
      <c r="I55" s="53" t="n"/>
      <c r="J55" s="53" t="n"/>
      <c r="K55" s="53" t="n"/>
      <c r="L55" s="53" t="n"/>
      <c r="M55" s="53" t="n"/>
      <c r="N55" s="53" t="n"/>
    </row>
    <row r="56">
      <c r="I56" s="53" t="n"/>
      <c r="J56" s="53" t="n"/>
      <c r="K56" s="53" t="n"/>
      <c r="L56" s="53" t="n"/>
      <c r="M56" s="53" t="n"/>
      <c r="N56" s="53" t="n"/>
    </row>
    <row r="57">
      <c r="I57" s="53" t="n"/>
      <c r="J57" s="53" t="n"/>
      <c r="K57" s="53" t="n"/>
      <c r="L57" s="53" t="n"/>
      <c r="M57" s="53" t="n"/>
      <c r="N57" s="53" t="n"/>
    </row>
    <row r="58">
      <c r="I58" s="53" t="n"/>
      <c r="J58" s="53" t="n"/>
      <c r="K58" s="53" t="n"/>
      <c r="L58" s="53" t="n"/>
      <c r="M58" s="53" t="n"/>
      <c r="N58" s="53" t="n"/>
    </row>
    <row r="59">
      <c r="I59" s="53" t="n"/>
      <c r="J59" s="53" t="n"/>
      <c r="K59" s="53" t="n"/>
      <c r="L59" s="53" t="n"/>
      <c r="M59" s="53" t="n"/>
      <c r="N59" s="53" t="n"/>
    </row>
    <row r="60">
      <c r="I60" s="53" t="n"/>
      <c r="J60" s="53" t="n"/>
      <c r="K60" s="53" t="n"/>
      <c r="L60" s="53" t="n"/>
      <c r="M60" s="53" t="n"/>
      <c r="N60" s="53" t="n"/>
    </row>
    <row r="61">
      <c r="I61" s="53" t="n"/>
      <c r="J61" s="53" t="n"/>
      <c r="K61" s="53" t="n"/>
      <c r="L61" s="53" t="n"/>
      <c r="M61" s="53" t="n"/>
      <c r="N61" s="53" t="n"/>
    </row>
    <row r="62">
      <c r="I62" s="53" t="n"/>
      <c r="J62" s="53" t="n"/>
      <c r="K62" s="53" t="n"/>
      <c r="L62" s="53" t="n"/>
      <c r="M62" s="53" t="n"/>
      <c r="N62" s="53" t="n"/>
    </row>
    <row r="63">
      <c r="I63" s="53" t="n"/>
      <c r="J63" s="53" t="n"/>
      <c r="K63" s="53" t="n"/>
      <c r="L63" s="53" t="n"/>
      <c r="M63" s="53" t="n"/>
      <c r="N63" s="53" t="n"/>
    </row>
    <row r="64">
      <c r="I64" s="53" t="n"/>
      <c r="J64" s="53" t="n"/>
      <c r="K64" s="53" t="n"/>
      <c r="L64" s="53" t="n"/>
      <c r="M64" s="53" t="n"/>
      <c r="N64" s="53" t="n"/>
    </row>
    <row r="65">
      <c r="I65" s="53" t="n"/>
      <c r="J65" s="53" t="n"/>
      <c r="K65" s="53" t="n"/>
      <c r="L65" s="53" t="n"/>
      <c r="M65" s="53" t="n"/>
      <c r="N65" s="53" t="n"/>
    </row>
    <row r="66">
      <c r="I66" s="53" t="n"/>
      <c r="J66" s="53" t="n"/>
      <c r="K66" s="53" t="n"/>
      <c r="L66" s="53" t="n"/>
      <c r="M66" s="53" t="n"/>
      <c r="N66" s="53" t="n"/>
    </row>
    <row r="67">
      <c r="I67" s="53" t="n"/>
      <c r="J67" s="53" t="n"/>
      <c r="K67" s="53" t="n"/>
      <c r="L67" s="53" t="n"/>
      <c r="M67" s="53" t="n"/>
      <c r="N67" s="53" t="n"/>
    </row>
    <row r="68">
      <c r="I68" s="53" t="n"/>
      <c r="J68" s="53" t="n"/>
      <c r="K68" s="53" t="n"/>
      <c r="L68" s="53" t="n"/>
      <c r="M68" s="53" t="n"/>
      <c r="N68" s="53" t="n"/>
    </row>
    <row r="69">
      <c r="I69" s="53" t="n"/>
      <c r="J69" s="53" t="n"/>
      <c r="K69" s="53" t="n"/>
      <c r="L69" s="53" t="n"/>
      <c r="M69" s="53" t="n"/>
      <c r="N69" s="53" t="n"/>
    </row>
    <row r="70">
      <c r="I70" s="53" t="n"/>
      <c r="J70" s="53" t="n"/>
      <c r="K70" s="53" t="n"/>
      <c r="L70" s="53" t="n"/>
      <c r="M70" s="53" t="n"/>
      <c r="N70" s="53" t="n"/>
    </row>
    <row r="71">
      <c r="I71" s="53" t="n"/>
      <c r="J71" s="53" t="n"/>
      <c r="K71" s="53" t="n"/>
      <c r="L71" s="53" t="n"/>
      <c r="M71" s="53" t="n"/>
      <c r="N71" s="53" t="n"/>
    </row>
    <row r="72">
      <c r="I72" s="53" t="n"/>
      <c r="J72" s="53" t="n"/>
      <c r="K72" s="53" t="n"/>
      <c r="L72" s="53" t="n"/>
      <c r="M72" s="53" t="n"/>
      <c r="N72" s="53" t="n"/>
    </row>
    <row r="73">
      <c r="I73" s="53" t="n"/>
      <c r="J73" s="53" t="n"/>
      <c r="K73" s="53" t="n"/>
      <c r="L73" s="53" t="n"/>
      <c r="M73" s="53" t="n"/>
      <c r="N73" s="53" t="n"/>
    </row>
    <row r="74">
      <c r="I74" s="53" t="n"/>
      <c r="J74" s="53" t="n"/>
      <c r="K74" s="53" t="n"/>
      <c r="L74" s="53" t="n"/>
      <c r="M74" s="53" t="n"/>
      <c r="N74" s="53" t="n"/>
    </row>
    <row r="75">
      <c r="I75" s="53" t="n"/>
      <c r="J75" s="53" t="n"/>
      <c r="K75" s="53" t="n"/>
      <c r="L75" s="53" t="n"/>
      <c r="M75" s="53" t="n"/>
      <c r="N75" s="53" t="n"/>
    </row>
    <row r="76">
      <c r="I76" s="53" t="n"/>
      <c r="J76" s="53" t="n"/>
      <c r="K76" s="53" t="n"/>
      <c r="L76" s="53" t="n"/>
      <c r="M76" s="53" t="n"/>
      <c r="N76" s="53" t="n"/>
    </row>
  </sheetData>
  <pageMargins left="0.7" right="0.7" top="0.75" bottom="0.75" header="0.3" footer="0.3"/>
  <pageSetup orientation="landscape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zoomScale="130" zoomScaleNormal="130" workbookViewId="0">
      <selection activeCell="C22" sqref="C22"/>
    </sheetView>
  </sheetViews>
  <sheetFormatPr baseColWidth="10" defaultColWidth="11.5" defaultRowHeight="15"/>
  <cols>
    <col width="15.1640625" customWidth="1" style="799" min="2" max="4"/>
    <col width="17.1640625" customWidth="1" style="799" min="5" max="6"/>
    <col width="15.5" customWidth="1" style="799" min="7" max="8"/>
    <col width="18" customWidth="1" style="799" min="9" max="10"/>
    <col width="14.1640625" customWidth="1" style="799" min="11" max="11"/>
    <col width="14" customWidth="1" style="799" min="14" max="14"/>
  </cols>
  <sheetData>
    <row r="1" ht="16" customHeight="1" s="799">
      <c r="B1" s="798" t="inlineStr">
        <is>
          <t xml:space="preserve">Progress of works </t>
        </is>
      </c>
      <c r="J1" s="305" t="n"/>
    </row>
    <row r="2">
      <c r="D2" s="42" t="n"/>
      <c r="E2" s="43" t="inlineStr">
        <is>
          <t>Fit out planned</t>
        </is>
      </c>
      <c r="F2" s="43" t="inlineStr">
        <is>
          <t>Fit out actual</t>
        </is>
      </c>
      <c r="G2" s="43" t="inlineStr">
        <is>
          <t>FF&amp;E planned</t>
        </is>
      </c>
      <c r="H2" s="43" t="inlineStr">
        <is>
          <t>FF&amp;E actual</t>
        </is>
      </c>
      <c r="I2" s="43" t="inlineStr">
        <is>
          <t>HKLS planned</t>
        </is>
      </c>
      <c r="J2" s="43" t="inlineStr">
        <is>
          <t>HKLS actual</t>
        </is>
      </c>
      <c r="K2" s="66" t="n"/>
      <c r="N2" s="43" t="inlineStr">
        <is>
          <t>TU Fees paid</t>
        </is>
      </c>
    </row>
    <row r="3">
      <c r="B3" s="42" t="n"/>
      <c r="C3" s="42" t="n"/>
      <c r="D3" s="42" t="n"/>
      <c r="E3" s="43" t="n"/>
      <c r="F3" s="43" t="n"/>
      <c r="G3" s="43" t="n"/>
      <c r="H3" s="43" t="n"/>
      <c r="I3" s="43" t="n"/>
      <c r="J3" s="43" t="n"/>
    </row>
    <row r="4">
      <c r="B4" s="42" t="inlineStr">
        <is>
          <t>TOTAL</t>
        </is>
      </c>
      <c r="C4" s="69" t="inlineStr">
        <is>
          <t>TOTAL</t>
        </is>
      </c>
      <c r="E4" s="43" t="n"/>
      <c r="F4" s="43" t="n"/>
      <c r="G4" s="43" t="n"/>
      <c r="H4" s="43" t="n"/>
      <c r="I4" s="43" t="n"/>
      <c r="J4" s="43" t="n"/>
    </row>
    <row r="5">
      <c r="B5" s="42" t="inlineStr">
        <is>
          <t>planned</t>
        </is>
      </c>
      <c r="C5" s="70" t="inlineStr">
        <is>
          <t>actual + Forecast</t>
        </is>
      </c>
      <c r="E5" s="43" t="n"/>
      <c r="F5" s="43" t="n"/>
      <c r="G5" s="43" t="n"/>
      <c r="H5" s="43" t="n"/>
      <c r="I5" s="43" t="n"/>
      <c r="J5" s="43" t="n"/>
    </row>
    <row r="6">
      <c r="A6" s="2" t="n">
        <v>45536</v>
      </c>
      <c r="B6" s="1" t="n">
        <v>76688142</v>
      </c>
      <c r="C6" s="71" t="n"/>
      <c r="D6" s="1" t="n"/>
      <c r="E6" s="1">
        <f>B6-I6-G6-K6</f>
        <v/>
      </c>
      <c r="F6" s="1" t="n">
        <v>59059138</v>
      </c>
      <c r="G6" s="1" t="n">
        <v>2663064</v>
      </c>
      <c r="H6" s="1" t="n">
        <v>2663064</v>
      </c>
      <c r="I6" s="1">
        <f>13849441+1116499</f>
        <v/>
      </c>
      <c r="J6" s="1" t="n">
        <v>14965940</v>
      </c>
      <c r="K6" s="1" t="n"/>
      <c r="L6" s="1" t="n"/>
      <c r="N6" s="1" t="n">
        <v>12824766</v>
      </c>
      <c r="O6" t="inlineStr">
        <is>
          <t>progress of works per end of September</t>
        </is>
      </c>
    </row>
    <row r="7">
      <c r="A7" s="2" t="n"/>
      <c r="B7" s="1" t="n"/>
      <c r="C7" s="7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2" t="n">
        <v>45566</v>
      </c>
      <c r="B8" s="44">
        <f>E8+G8+I8</f>
        <v/>
      </c>
      <c r="C8" s="72">
        <f>F8+H8+J8+K8+O8</f>
        <v/>
      </c>
      <c r="D8" s="44">
        <f>F8+H8+J8</f>
        <v/>
      </c>
      <c r="E8" s="1">
        <f>$E$26/9</f>
        <v/>
      </c>
      <c r="F8" s="1" t="n">
        <v>1703950</v>
      </c>
      <c r="G8" s="1" t="n"/>
      <c r="H8" s="1" t="n">
        <v>300000</v>
      </c>
      <c r="I8" s="1">
        <f>$I$26/5</f>
        <v/>
      </c>
      <c r="J8" s="1" t="n">
        <v>1230237</v>
      </c>
      <c r="K8" s="1" t="n"/>
      <c r="L8" s="1" t="n"/>
      <c r="N8" s="1" t="n">
        <v>431798.89</v>
      </c>
      <c r="O8" s="1" t="n">
        <v>398466</v>
      </c>
    </row>
    <row r="9">
      <c r="A9" s="2" t="n">
        <v>45597</v>
      </c>
      <c r="B9" s="44">
        <f>E9+G9+I9</f>
        <v/>
      </c>
      <c r="C9" s="72">
        <f>F9+H9+J9+K9+O9</f>
        <v/>
      </c>
      <c r="D9" s="44">
        <f>F9+H9+J9</f>
        <v/>
      </c>
      <c r="E9" s="1">
        <f>$E$26/9</f>
        <v/>
      </c>
      <c r="F9" s="1" t="n">
        <v>3356909</v>
      </c>
      <c r="G9" s="1" t="n"/>
      <c r="H9" s="1" t="n">
        <v>221437</v>
      </c>
      <c r="I9" s="1">
        <f>$I$26/5</f>
        <v/>
      </c>
      <c r="J9" s="1" t="n">
        <v>1507803</v>
      </c>
      <c r="K9" s="1" t="n"/>
      <c r="L9" s="1" t="n"/>
      <c r="N9" s="1" t="n">
        <v>431798.89</v>
      </c>
      <c r="O9" s="1" t="n">
        <v>398466</v>
      </c>
    </row>
    <row r="10">
      <c r="A10" s="2" t="n">
        <v>45627</v>
      </c>
      <c r="B10" s="44">
        <f>E10+G10+I10</f>
        <v/>
      </c>
      <c r="C10" s="72">
        <f>F10+H10+J10+K10+O10</f>
        <v/>
      </c>
      <c r="D10" s="44">
        <f>F10+H10+J10</f>
        <v/>
      </c>
      <c r="E10" s="1">
        <f>$E$26/9</f>
        <v/>
      </c>
      <c r="F10" s="1" t="n">
        <v>2515021</v>
      </c>
      <c r="G10" s="1">
        <f>$G$26/4</f>
        <v/>
      </c>
      <c r="H10" s="1">
        <f>1423808-600000</f>
        <v/>
      </c>
      <c r="I10" s="1">
        <f>$I$26/5</f>
        <v/>
      </c>
      <c r="J10" s="1" t="n">
        <v>1638885</v>
      </c>
      <c r="L10" s="1" t="n"/>
      <c r="N10" s="1" t="n">
        <v>431798.89</v>
      </c>
      <c r="O10" s="1" t="n">
        <v>398466</v>
      </c>
    </row>
    <row r="11">
      <c r="A11" s="2" t="n">
        <v>45658</v>
      </c>
      <c r="B11" s="44">
        <f>E11+G11+I11</f>
        <v/>
      </c>
      <c r="C11" s="72">
        <f>F11+H11+J11+K12+O11</f>
        <v/>
      </c>
      <c r="D11" s="44">
        <f>F11+H11+J11</f>
        <v/>
      </c>
      <c r="E11" s="1">
        <f>$E$26/9</f>
        <v/>
      </c>
      <c r="F11" s="1" t="n">
        <v>2137684</v>
      </c>
      <c r="G11" s="1">
        <f>$G$26/4</f>
        <v/>
      </c>
      <c r="H11" s="1">
        <f>251462+600000</f>
        <v/>
      </c>
      <c r="I11" s="1">
        <f>$I$26/5</f>
        <v/>
      </c>
      <c r="J11" s="1" t="n">
        <v>1211618</v>
      </c>
      <c r="L11" s="1" t="n"/>
      <c r="N11" s="1" t="n">
        <v>431798.89</v>
      </c>
      <c r="O11" s="1" t="n">
        <v>398466</v>
      </c>
    </row>
    <row r="12">
      <c r="A12" s="2" t="n">
        <v>45689</v>
      </c>
      <c r="B12" s="44">
        <f>E12+G12+I12</f>
        <v/>
      </c>
      <c r="C12" s="72">
        <f>F12+H12+J12+K12+O12</f>
        <v/>
      </c>
      <c r="D12" s="44">
        <f>F12+H12+J12</f>
        <v/>
      </c>
      <c r="E12" s="1">
        <f>$E$26/9</f>
        <v/>
      </c>
      <c r="F12" s="1" t="n">
        <v>1170136</v>
      </c>
      <c r="G12" s="1">
        <f>$G$26/4</f>
        <v/>
      </c>
      <c r="H12" s="1" t="n">
        <v>450935</v>
      </c>
      <c r="I12" s="1">
        <f>$I$26/5</f>
        <v/>
      </c>
      <c r="J12" s="1" t="n">
        <v>1044657</v>
      </c>
      <c r="K12" s="1" t="n"/>
      <c r="L12" s="1" t="n"/>
      <c r="N12" s="1" t="n">
        <v>431798.89</v>
      </c>
      <c r="O12" s="1" t="n">
        <v>398466</v>
      </c>
    </row>
    <row r="13">
      <c r="A13" s="2" t="n">
        <v>45717</v>
      </c>
      <c r="B13" s="44">
        <f>E13+G13+I13</f>
        <v/>
      </c>
      <c r="C13" s="72">
        <f>F13+H13+J13+K13+O13</f>
        <v/>
      </c>
      <c r="D13" s="44">
        <f>F13+H13+J13</f>
        <v/>
      </c>
      <c r="E13" s="1">
        <f>$E$26/9</f>
        <v/>
      </c>
      <c r="F13" s="1" t="n">
        <v>2195244</v>
      </c>
      <c r="G13" s="1">
        <f>$G$26/4</f>
        <v/>
      </c>
      <c r="H13" s="1" t="n">
        <v>1076933</v>
      </c>
      <c r="I13" s="1" t="n"/>
      <c r="J13" s="1" t="n">
        <v>886555</v>
      </c>
      <c r="K13" s="1" t="n"/>
      <c r="L13" s="1" t="n"/>
      <c r="N13" s="1" t="n">
        <v>431798.89</v>
      </c>
      <c r="O13" s="1" t="n">
        <v>398466</v>
      </c>
    </row>
    <row r="14">
      <c r="A14" s="2" t="n">
        <v>45748</v>
      </c>
      <c r="B14" s="44">
        <f>E14+G14+I14</f>
        <v/>
      </c>
      <c r="C14" s="72">
        <f>F14+H14+J14+K14+O14</f>
        <v/>
      </c>
      <c r="D14" s="44">
        <f>F14+H14+J14</f>
        <v/>
      </c>
      <c r="E14" s="1">
        <f>$E$26/9</f>
        <v/>
      </c>
      <c r="F14" s="1" t="n">
        <v>1344630</v>
      </c>
      <c r="G14" s="1" t="n"/>
      <c r="H14" s="1" t="n">
        <v>610739</v>
      </c>
      <c r="I14" s="1" t="n"/>
      <c r="J14" s="1" t="n">
        <v>814962</v>
      </c>
      <c r="K14" s="1" t="n"/>
      <c r="L14" s="1" t="n"/>
      <c r="N14" s="1" t="n">
        <v>431798.89</v>
      </c>
      <c r="O14" s="1" t="n">
        <v>398466</v>
      </c>
    </row>
    <row r="15">
      <c r="A15" s="2" t="n">
        <v>45778</v>
      </c>
      <c r="B15" s="44">
        <f>E15+G15+I15</f>
        <v/>
      </c>
      <c r="C15" s="72">
        <f>F15+H15+J15+K15+O15</f>
        <v/>
      </c>
      <c r="D15" s="44">
        <f>F15+H15+J15</f>
        <v/>
      </c>
      <c r="E15" s="1">
        <f>$E$26/9</f>
        <v/>
      </c>
      <c r="F15" s="1" t="n">
        <v>1051978</v>
      </c>
      <c r="G15" s="1" t="n"/>
      <c r="H15" s="1" t="n">
        <v>1192113</v>
      </c>
      <c r="I15" s="1" t="n"/>
      <c r="J15" s="1" t="n">
        <v>898260</v>
      </c>
      <c r="K15" s="1" t="n"/>
      <c r="L15" s="1" t="n"/>
      <c r="N15" s="1" t="n">
        <v>431798.89</v>
      </c>
      <c r="O15" s="1" t="n">
        <v>398466</v>
      </c>
    </row>
    <row r="16">
      <c r="A16" s="2" t="n">
        <v>45809</v>
      </c>
      <c r="B16" s="44">
        <f>E16+G16+I16</f>
        <v/>
      </c>
      <c r="C16" s="72">
        <f>F16+H16+J16+K16+O16</f>
        <v/>
      </c>
      <c r="D16" s="44">
        <f>F16+H16+J16</f>
        <v/>
      </c>
      <c r="E16" s="1">
        <f>$E$26/9</f>
        <v/>
      </c>
      <c r="F16" s="1" t="n">
        <v>1733414</v>
      </c>
      <c r="G16" s="1" t="n"/>
      <c r="H16" s="1" t="n">
        <v>934072</v>
      </c>
      <c r="I16" s="1" t="n"/>
      <c r="J16" s="1" t="n">
        <v>1104626</v>
      </c>
      <c r="K16" s="1" t="n"/>
      <c r="L16" s="1" t="n"/>
      <c r="N16" s="1" t="n">
        <v>431798.89</v>
      </c>
      <c r="O16" s="44" t="n">
        <v>132822</v>
      </c>
    </row>
    <row r="17">
      <c r="A17" s="2" t="n">
        <v>45839</v>
      </c>
      <c r="C17" s="72">
        <f>F17+H17+J17+K17+O17</f>
        <v/>
      </c>
      <c r="D17" s="44">
        <f>F17+H17+J17</f>
        <v/>
      </c>
      <c r="E17" s="1" t="n"/>
      <c r="F17" s="1" t="n">
        <v>1693227</v>
      </c>
      <c r="G17" s="1" t="n"/>
      <c r="H17" s="1" t="n">
        <v>1069427</v>
      </c>
      <c r="I17" s="1" t="n"/>
      <c r="J17" s="1" t="n">
        <v>767953</v>
      </c>
      <c r="K17" s="1" t="n"/>
      <c r="N17" s="1" t="n"/>
      <c r="O17" s="44" t="n">
        <v>100000</v>
      </c>
    </row>
    <row r="18">
      <c r="A18" s="2" t="n">
        <v>45870</v>
      </c>
      <c r="C18" s="72">
        <f>F18+H18+J18+K18+O18</f>
        <v/>
      </c>
      <c r="D18" s="44">
        <f>F18+H18+J18</f>
        <v/>
      </c>
      <c r="E18" s="1" t="n"/>
      <c r="F18" s="1">
        <f>3229068-138134-1550000</f>
        <v/>
      </c>
      <c r="G18" s="1" t="n"/>
      <c r="H18" s="1" t="n">
        <v>1111918</v>
      </c>
      <c r="I18" s="1" t="n"/>
      <c r="J18" s="1" t="n">
        <v>883132</v>
      </c>
      <c r="O18" s="44" t="n">
        <v>100000</v>
      </c>
    </row>
    <row r="19">
      <c r="A19" s="2" t="n">
        <v>45901</v>
      </c>
      <c r="C19" s="74" t="n"/>
      <c r="D19" s="44">
        <f>F19+H19+J19</f>
        <v/>
      </c>
      <c r="E19" s="1" t="n"/>
      <c r="F19" s="1" t="n">
        <v>435140.62</v>
      </c>
      <c r="G19" s="1" t="n"/>
      <c r="H19" s="1" t="n">
        <v>575996.4</v>
      </c>
      <c r="I19" s="1" t="n"/>
      <c r="J19" s="1" t="n">
        <v>179797</v>
      </c>
      <c r="O19" s="44" t="n">
        <v>100000</v>
      </c>
    </row>
    <row r="20">
      <c r="A20" s="2" t="n">
        <v>45931</v>
      </c>
      <c r="C20" s="74" t="n"/>
      <c r="D20" s="44">
        <f>F20+H20+J20</f>
        <v/>
      </c>
      <c r="E20" s="1" t="n"/>
      <c r="F20" s="1" t="n">
        <v>1806961</v>
      </c>
      <c r="G20" s="1" t="n"/>
      <c r="H20" s="1" t="n">
        <v>328000</v>
      </c>
      <c r="I20" s="1" t="n"/>
      <c r="J20" s="1" t="n">
        <v>100000</v>
      </c>
      <c r="O20" s="44" t="n"/>
    </row>
    <row r="21">
      <c r="A21" s="2" t="n"/>
      <c r="C21" s="74" t="n"/>
      <c r="D21" s="44" t="n"/>
      <c r="E21" s="1" t="n"/>
      <c r="F21" s="1" t="n"/>
      <c r="G21" s="1" t="n"/>
      <c r="H21" s="1" t="n"/>
      <c r="I21" s="1" t="n"/>
      <c r="J21" s="1" t="n"/>
      <c r="O21" s="44" t="n"/>
    </row>
    <row r="22">
      <c r="A22" t="inlineStr">
        <is>
          <t>TOTAL</t>
        </is>
      </c>
      <c r="B22" s="1">
        <f>F22+H22+J22+K22</f>
        <v/>
      </c>
      <c r="C22" s="1">
        <f>F22+H22+J22</f>
        <v/>
      </c>
      <c r="D22" s="1" t="n"/>
      <c r="E22" s="1">
        <f>B22-G22-I22-K22</f>
        <v/>
      </c>
      <c r="F22" s="1">
        <f>SUM(F6:F20)</f>
        <v/>
      </c>
      <c r="G22" s="1" t="n">
        <v>12226961</v>
      </c>
      <c r="H22" s="1">
        <f>SUM(H6:H20)</f>
        <v/>
      </c>
      <c r="I22" s="1">
        <f>25144109</f>
        <v/>
      </c>
      <c r="J22" s="1">
        <f>SUM(J6:J20)</f>
        <v/>
      </c>
      <c r="K22" s="1" t="n"/>
      <c r="L22" s="1" t="n"/>
      <c r="M22" s="1" t="n"/>
      <c r="N22" s="1" t="n">
        <v>16710956</v>
      </c>
    </row>
    <row r="23">
      <c r="E23" s="1" t="n"/>
      <c r="F23" s="1" t="n"/>
      <c r="G23" s="1" t="n"/>
      <c r="H23" s="1" t="n"/>
      <c r="I23" s="1" t="n"/>
      <c r="J23" s="1" t="n"/>
    </row>
    <row r="25">
      <c r="A25" t="inlineStr">
        <is>
          <t xml:space="preserve">works open </t>
        </is>
      </c>
    </row>
    <row r="26">
      <c r="B26" s="1" t="n"/>
      <c r="C26" s="1" t="n"/>
      <c r="D26" s="1" t="n"/>
      <c r="E26" s="45" t="n"/>
      <c r="F26" s="45" t="n"/>
      <c r="G26" s="45" t="n"/>
      <c r="H26" s="45" t="n"/>
      <c r="I26" s="45" t="n"/>
      <c r="J26" s="45" t="n"/>
      <c r="K26" s="45">
        <f>K22-K6</f>
        <v/>
      </c>
      <c r="N26" s="45" t="n"/>
    </row>
    <row r="27">
      <c r="B27" s="46" t="n"/>
      <c r="C27" s="46" t="n"/>
      <c r="D27" s="46" t="n"/>
      <c r="N27" s="46" t="n"/>
    </row>
  </sheetData>
  <mergeCells count="1">
    <mergeCell ref="B1:I1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W107"/>
  <sheetViews>
    <sheetView showGridLines="0" tabSelected="1" topLeftCell="C1" zoomScaleNormal="100" workbookViewId="0">
      <pane xSplit="3" ySplit="6" topLeftCell="F83" activePane="bottomRight" state="frozen"/>
      <selection pane="topRight" activeCell="F1" sqref="F1"/>
      <selection pane="bottomLeft" activeCell="C9" sqref="C9"/>
      <selection pane="bottomRight" activeCell="F87" sqref="F87"/>
    </sheetView>
  </sheetViews>
  <sheetFormatPr baseColWidth="10" defaultColWidth="10.83203125" defaultRowHeight="14"/>
  <cols>
    <col width="2.33203125" customWidth="1" style="1146" min="1" max="1"/>
    <col width="2.83203125" customWidth="1" style="1146" min="2" max="2"/>
    <col width="6.1640625" customWidth="1" style="1146" min="3" max="3"/>
    <col width="34.33203125" customWidth="1" style="1146" min="4" max="4"/>
    <col width="7.1640625" customWidth="1" style="1146" min="5" max="5"/>
    <col width="16.33203125" customWidth="1" style="1146" min="6" max="6"/>
    <col width="11.1640625" customWidth="1" style="1147" min="7" max="7"/>
    <col width="19.33203125" customWidth="1" style="1146" min="8" max="8"/>
    <col width="18.6640625" customWidth="1" style="1146" min="9" max="9"/>
    <col width="19.33203125" customWidth="1" style="1146" min="10" max="10"/>
    <col width="18" customWidth="1" style="1146" min="11" max="12"/>
    <col width="10.83203125" customWidth="1" style="1147" min="13" max="13"/>
    <col width="22" customWidth="1" style="1146" min="14" max="14"/>
    <col width="19.6640625" customWidth="1" style="1146" min="15" max="15"/>
    <col width="22.33203125" customWidth="1" style="1146" min="16" max="16"/>
    <col width="22.6640625" customWidth="1" style="1146" min="17" max="17"/>
    <col width="22.33203125" customWidth="1" style="1146" min="18" max="18"/>
    <col width="31.33203125" customWidth="1" style="1146" min="19" max="19"/>
    <col width="25.83203125" customWidth="1" style="1146" min="20" max="20"/>
    <col width="19.33203125" customWidth="1" style="1146" min="21" max="22"/>
    <col width="24.83203125" customWidth="1" style="1146" min="23" max="23"/>
    <col width="10.83203125" customWidth="1" style="1146" min="24" max="27"/>
    <col width="10.83203125" customWidth="1" style="1146" min="28" max="16384"/>
  </cols>
  <sheetData>
    <row r="2" ht="48" customHeight="1" s="799">
      <c r="A2" s="1148" t="n"/>
      <c r="B2" s="1148" t="n"/>
      <c r="C2" s="1148" t="n"/>
      <c r="D2" s="627" t="inlineStr">
        <is>
          <t>FINANCING TO COMPLETION 2025–2026</t>
        </is>
      </c>
      <c r="E2" s="627" t="n"/>
      <c r="F2" s="627" t="n"/>
      <c r="G2" s="627" t="n"/>
      <c r="H2" s="1149" t="inlineStr">
        <is>
          <t>As of 13 Jun 2025</t>
        </is>
      </c>
      <c r="P2" s="1150" t="n"/>
      <c r="Q2" s="1149" t="inlineStr">
        <is>
          <t>As of 09 Apr 2026</t>
        </is>
      </c>
      <c r="R2" s="1150" t="n"/>
      <c r="S2" s="1150" t="n"/>
      <c r="T2" s="1150" t="n"/>
      <c r="U2" s="1150" t="n"/>
      <c r="V2" s="1148" t="n"/>
      <c r="W2" s="1148" t="n"/>
    </row>
    <row r="3" ht="17" customHeight="1" s="799">
      <c r="A3" s="1148" t="n"/>
      <c r="B3" s="1148" t="n"/>
      <c r="C3" s="1148" t="n"/>
      <c r="D3" s="1148" t="n"/>
      <c r="E3" s="1148" t="n"/>
      <c r="F3" s="1148" t="n"/>
      <c r="G3" s="1148" t="n"/>
      <c r="H3" s="1148" t="n"/>
      <c r="I3" s="1148" t="n"/>
      <c r="J3" s="1148" t="n"/>
      <c r="K3" s="1148" t="n"/>
      <c r="L3" s="1148" t="n"/>
      <c r="M3" s="1148" t="n"/>
      <c r="N3" s="1148" t="n"/>
      <c r="O3" s="1148" t="n"/>
      <c r="P3" s="1148" t="n"/>
      <c r="Q3" s="1148" t="n"/>
      <c r="R3" s="1148" t="n"/>
      <c r="S3" s="1148" t="n"/>
      <c r="T3" s="1148" t="n"/>
      <c r="U3" s="1148" t="n"/>
      <c r="V3" s="1148" t="n"/>
      <c r="W3" s="1148" t="n"/>
    </row>
    <row r="4" ht="24" customHeight="1" s="799">
      <c r="A4" s="1148" t="n"/>
      <c r="B4" s="1148" t="n"/>
      <c r="C4" s="630" t="inlineStr">
        <is>
          <t>A</t>
        </is>
      </c>
      <c r="D4" s="631" t="inlineStr">
        <is>
          <t>Allocation</t>
        </is>
      </c>
      <c r="E4" s="1151" t="n"/>
      <c r="F4" s="631" t="n"/>
      <c r="G4" s="631" t="n"/>
      <c r="H4" s="768" t="inlineStr">
        <is>
          <t>2025 ( MAR-SEP)</t>
        </is>
      </c>
      <c r="P4" s="1151" t="n"/>
      <c r="Q4" s="633" t="inlineStr">
        <is>
          <t>2025 ( OCT-DEC)</t>
        </is>
      </c>
      <c r="R4" s="633" t="n"/>
      <c r="S4" s="633" t="inlineStr">
        <is>
          <t>2026 (JAN-JUN)</t>
        </is>
      </c>
      <c r="T4" s="633" t="n"/>
      <c r="U4" s="631" t="n"/>
      <c r="V4" s="1148" t="n"/>
      <c r="W4" s="1148" t="n"/>
    </row>
    <row r="5" ht="32" customFormat="1" customHeight="1" s="1152">
      <c r="A5" s="1153" t="n"/>
      <c r="B5" s="1153" t="n"/>
      <c r="C5" s="1153" t="n"/>
      <c r="D5" s="1154" t="n"/>
      <c r="E5" s="1154" t="n"/>
      <c r="F5" s="1155" t="inlineStr">
        <is>
          <t>ACTUAL</t>
        </is>
      </c>
      <c r="J5" s="771" t="inlineStr">
        <is>
          <t>PROJECTED</t>
        </is>
      </c>
      <c r="O5" s="637" t="inlineStr">
        <is>
          <t>CAPITAL CALL</t>
        </is>
      </c>
      <c r="P5" s="1154" t="n"/>
      <c r="Q5" s="1155" t="inlineStr">
        <is>
          <t>ACTUAL SPENT</t>
        </is>
      </c>
      <c r="R5" s="1154" t="inlineStr">
        <is>
          <t>DEFICIT OF FUNDS</t>
        </is>
      </c>
      <c r="S5" s="1154" t="inlineStr">
        <is>
          <t>PROJECTED &amp; ACTUAL</t>
        </is>
      </c>
      <c r="T5" s="1154" t="inlineStr">
        <is>
          <t>DEFICIT OF FUNDS AND PROJECTED TILL JUNE 2026</t>
        </is>
      </c>
      <c r="U5" s="1156" t="inlineStr">
        <is>
          <t>CAPITAL CALL</t>
        </is>
      </c>
      <c r="V5" s="1153" t="n"/>
      <c r="W5" s="1153" t="n"/>
    </row>
    <row r="6" ht="47" customHeight="1" s="799" thickBot="1">
      <c r="A6" s="1148" t="n"/>
      <c r="B6" s="1148" t="n"/>
      <c r="C6" s="1148" t="n"/>
      <c r="D6" s="1157" t="inlineStr">
        <is>
          <t xml:space="preserve">Description </t>
        </is>
      </c>
      <c r="E6" s="1158" t="inlineStr">
        <is>
          <t>%</t>
        </is>
      </c>
      <c r="F6" s="1157" t="inlineStr">
        <is>
          <t>MARCH</t>
        </is>
      </c>
      <c r="G6" s="1157" t="n"/>
      <c r="H6" s="1157" t="inlineStr">
        <is>
          <t>APRIL</t>
        </is>
      </c>
      <c r="I6" s="1157" t="inlineStr">
        <is>
          <t>MAY</t>
        </is>
      </c>
      <c r="J6" s="1157" t="inlineStr">
        <is>
          <t>JUNE</t>
        </is>
      </c>
      <c r="K6" s="1157" t="inlineStr">
        <is>
          <t>JULY</t>
        </is>
      </c>
      <c r="L6" s="1157" t="inlineStr">
        <is>
          <t>AUGUST</t>
        </is>
      </c>
      <c r="M6" s="1157" t="n"/>
      <c r="N6" s="1157" t="inlineStr">
        <is>
          <t>SEPTEMBER</t>
        </is>
      </c>
      <c r="O6" s="1157" t="inlineStr">
        <is>
          <t xml:space="preserve">
Sep 2025</t>
        </is>
      </c>
      <c r="P6" s="1159" t="n"/>
      <c r="Q6" s="1157" t="inlineStr">
        <is>
          <t>OCT-DEC</t>
        </is>
      </c>
      <c r="R6" s="643" t="inlineStr">
        <is>
          <t>DIFFERENCE BTW REQUESTED &amp; RECEIVED</t>
        </is>
      </c>
      <c r="S6" s="643" t="inlineStr">
        <is>
          <t>Jan2026 -June 2026</t>
        </is>
      </c>
      <c r="T6" s="1157" t="inlineStr">
        <is>
          <t>OCT -JUNE 2026</t>
        </is>
      </c>
      <c r="U6" s="1157" t="inlineStr">
        <is>
          <t xml:space="preserve">
Apr 2026</t>
        </is>
      </c>
      <c r="V6" s="1148" t="n"/>
      <c r="W6" s="1148" t="n"/>
    </row>
    <row r="7" ht="17" customHeight="1" s="799">
      <c r="A7" s="1148" t="n"/>
      <c r="B7" s="1148" t="n"/>
      <c r="C7" s="1148" t="n"/>
      <c r="D7" s="1148" t="n"/>
      <c r="E7" s="1160" t="n"/>
      <c r="F7" s="1148" t="n"/>
      <c r="G7" s="1148" t="n"/>
      <c r="H7" s="1148" t="n"/>
      <c r="I7" s="1148" t="n"/>
      <c r="J7" s="1148" t="n"/>
      <c r="K7" s="1148" t="n"/>
      <c r="L7" s="1148" t="n"/>
      <c r="M7" s="1148" t="n"/>
      <c r="N7" s="1148" t="n"/>
      <c r="O7" s="1148" t="n"/>
      <c r="P7" s="1148" t="n"/>
      <c r="Q7" s="1148" t="n"/>
      <c r="R7" s="1148" t="n"/>
      <c r="S7" s="1148" t="n"/>
      <c r="T7" s="1148" t="n"/>
      <c r="U7" s="1148" t="n"/>
      <c r="V7" s="1148" t="n"/>
      <c r="W7" s="1148" t="n"/>
    </row>
    <row r="8" ht="18" customHeight="1" s="799">
      <c r="A8" s="1148" t="n"/>
      <c r="B8" s="1148" t="n"/>
      <c r="C8" s="1148" t="n"/>
      <c r="D8" s="1161" t="inlineStr">
        <is>
          <t>Uses</t>
        </is>
      </c>
      <c r="E8" s="1162" t="n"/>
      <c r="F8" s="1161" t="n"/>
      <c r="G8" s="1161" t="n"/>
      <c r="H8" s="1161" t="n"/>
      <c r="I8" s="1161" t="n"/>
      <c r="J8" s="1161" t="n"/>
      <c r="K8" s="1161" t="n"/>
      <c r="L8" s="1161" t="n"/>
      <c r="M8" s="1161" t="n"/>
      <c r="N8" s="1161" t="n"/>
      <c r="O8" s="1161" t="n"/>
      <c r="P8" s="1163" t="n"/>
      <c r="Q8" s="1164" t="n"/>
      <c r="R8" s="1164" t="n"/>
      <c r="S8" s="1164" t="n"/>
      <c r="T8" s="1164" t="n"/>
      <c r="U8" s="1164" t="n"/>
      <c r="V8" s="1148" t="n"/>
      <c r="W8" s="1148" t="n"/>
    </row>
    <row r="9" ht="18" customHeight="1" s="799">
      <c r="A9" s="1148" t="n"/>
      <c r="B9" s="1148" t="n"/>
      <c r="C9" s="1148" t="n"/>
      <c r="D9" s="1165" t="n"/>
      <c r="E9" s="1166" t="n"/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48" t="n"/>
      <c r="Q9" s="1167" t="n"/>
      <c r="R9" s="1167" t="n"/>
      <c r="S9" s="1167" t="n"/>
      <c r="T9" s="1167" t="n"/>
      <c r="U9" s="1167" t="n"/>
      <c r="V9" s="1148" t="n"/>
      <c r="W9" s="1148" t="n"/>
    </row>
    <row r="10" ht="21" customHeight="1" s="799">
      <c r="A10" s="1148" t="n"/>
      <c r="B10" s="1148" t="n"/>
      <c r="C10" s="1148" t="n"/>
      <c r="D10" s="1148" t="inlineStr">
        <is>
          <t>Available at begining of period</t>
        </is>
      </c>
      <c r="E10" s="1160" t="n"/>
      <c r="F10" s="1168" t="n">
        <v>14814554</v>
      </c>
      <c r="G10" s="1168" t="n"/>
      <c r="H10" s="1168" t="n">
        <v>8723948</v>
      </c>
      <c r="I10" s="1168" t="n">
        <v>711925.6708333362</v>
      </c>
      <c r="J10" s="1168" t="n">
        <v>-0.3291666638106108</v>
      </c>
      <c r="K10" s="1168" t="n"/>
      <c r="L10" s="1168" t="n">
        <v>0</v>
      </c>
      <c r="M10" s="1168" t="n"/>
      <c r="N10" s="1168" t="n">
        <v>0</v>
      </c>
      <c r="O10" s="1168" t="n"/>
      <c r="P10" s="1168" t="n"/>
      <c r="Q10" s="1168" t="n"/>
      <c r="R10" s="1168" t="n"/>
      <c r="S10" s="1168" t="n"/>
      <c r="T10" s="1168" t="n"/>
      <c r="U10" s="1168" t="n"/>
      <c r="V10" s="1148" t="n"/>
      <c r="W10" s="1148" t="n"/>
    </row>
    <row r="11" ht="29" customHeight="1" s="799">
      <c r="A11" s="1148" t="n"/>
      <c r="B11" s="1148" t="n"/>
      <c r="C11" s="1148" t="n"/>
      <c r="D11" s="1169" t="inlineStr">
        <is>
          <t>CAPEX</t>
        </is>
      </c>
      <c r="E11" s="1170" t="n"/>
      <c r="F11" s="1171" t="n"/>
      <c r="G11" s="1171" t="n"/>
      <c r="H11" s="1171" t="n"/>
      <c r="I11" s="1171" t="n"/>
      <c r="J11" s="1171" t="n"/>
      <c r="K11" s="1171" t="n"/>
      <c r="L11" s="1171" t="n"/>
      <c r="M11" s="1171" t="n"/>
      <c r="N11" s="1171" t="n"/>
      <c r="O11" s="1171" t="n"/>
      <c r="P11" s="1172" t="n"/>
      <c r="Q11" s="1173" t="n"/>
      <c r="R11" s="1171" t="n"/>
      <c r="S11" s="1171" t="n"/>
      <c r="T11" s="1171" t="n"/>
      <c r="U11" s="1171" t="n"/>
      <c r="V11" s="1148" t="n"/>
      <c r="W11" s="1148" t="n"/>
    </row>
    <row r="12" ht="21" customHeight="1" s="799">
      <c r="A12" s="1148" t="n"/>
      <c r="B12" s="1148" t="n"/>
      <c r="C12" s="1148" t="n"/>
      <c r="D12" s="1174" t="inlineStr">
        <is>
          <t xml:space="preserve">Construction and Development </t>
        </is>
      </c>
      <c r="E12" s="1175" t="n"/>
      <c r="F12" s="1176" t="n">
        <v>-4320606</v>
      </c>
      <c r="G12" s="1176" t="n"/>
      <c r="H12" s="1176" t="n">
        <v>-6261022.329166664</v>
      </c>
      <c r="I12" s="1176" t="n">
        <v>-6361022.329166664</v>
      </c>
      <c r="J12" s="1176" t="n">
        <v>-7002685.329166664</v>
      </c>
      <c r="K12" s="1176" t="n">
        <v>-5026592.8125</v>
      </c>
      <c r="L12" s="1176" t="n">
        <v>-1098625</v>
      </c>
      <c r="M12" s="1176" t="n"/>
      <c r="N12" s="1176" t="n">
        <v>-1670000</v>
      </c>
      <c r="O12" s="1176" t="n">
        <v>-31740553.79999999</v>
      </c>
      <c r="P12" s="1176" t="n"/>
      <c r="Q12" s="1176" t="n">
        <v>-1341458.080000009</v>
      </c>
      <c r="R12" s="1176">
        <f>Q12</f>
        <v/>
      </c>
      <c r="S12" s="1176" t="n">
        <v>-2541213</v>
      </c>
      <c r="T12" s="1176">
        <f>R12+S12</f>
        <v/>
      </c>
      <c r="U12" s="1176" t="n"/>
      <c r="V12" s="1148" t="n"/>
      <c r="W12" s="1148" t="n"/>
    </row>
    <row r="13" ht="20.25" customHeight="1" s="799">
      <c r="A13" s="1148" t="n"/>
      <c r="B13" s="1148" t="n"/>
      <c r="C13" s="1148" t="n"/>
      <c r="D13" s="1177" t="inlineStr">
        <is>
          <t>Hotel Replacement Construction Costs</t>
        </is>
      </c>
      <c r="E13" s="1178" t="n"/>
      <c r="F13" s="1179" t="n"/>
      <c r="G13" s="1179" t="n"/>
      <c r="H13" s="1179" t="n"/>
      <c r="I13" s="1179" t="n"/>
      <c r="J13" s="1179" t="n"/>
      <c r="K13" s="1179" t="n"/>
      <c r="L13" s="1179" t="n"/>
      <c r="M13" s="1179" t="n"/>
      <c r="N13" s="1179" t="n"/>
      <c r="O13" s="1179" t="n">
        <v>0</v>
      </c>
      <c r="P13" s="1179" t="n"/>
      <c r="Q13" s="1179" t="n"/>
      <c r="R13" s="1179">
        <f>Q13</f>
        <v/>
      </c>
      <c r="S13" s="1179" t="n">
        <v>-1050000</v>
      </c>
      <c r="T13" s="1179" t="n"/>
      <c r="U13" s="1179" t="n"/>
      <c r="V13" s="1148" t="n"/>
      <c r="W13" s="1148" t="n"/>
    </row>
    <row r="14" ht="21" customHeight="1" s="799">
      <c r="A14" s="1148" t="n"/>
      <c r="B14" s="1148" t="n"/>
      <c r="C14" s="1148" t="n"/>
      <c r="D14" s="1180" t="inlineStr">
        <is>
          <t>Appartments  Replacement Construction Costs</t>
        </is>
      </c>
      <c r="E14" s="1181" t="n"/>
      <c r="F14" s="1182" t="n"/>
      <c r="G14" s="1182" t="n"/>
      <c r="H14" s="1182" t="n"/>
      <c r="I14" s="1182" t="n"/>
      <c r="J14" s="1182" t="n"/>
      <c r="K14" s="1182" t="n"/>
      <c r="L14" s="1182" t="n"/>
      <c r="M14" s="1182" t="n"/>
      <c r="N14" s="1182" t="n"/>
      <c r="O14" s="1182" t="n">
        <v>0</v>
      </c>
      <c r="P14" s="1182" t="n"/>
      <c r="Q14" s="1182" t="n"/>
      <c r="R14" s="1182">
        <f>Q14</f>
        <v/>
      </c>
      <c r="S14" s="1182" t="n">
        <v>-1500000</v>
      </c>
      <c r="T14" s="1182" t="n"/>
      <c r="U14" s="1182" t="n"/>
      <c r="V14" s="1148" t="n"/>
      <c r="W14" s="1148" t="n"/>
    </row>
    <row r="15" ht="21" customHeight="1" s="799">
      <c r="A15" s="1148" t="n"/>
      <c r="B15" s="1148" t="n"/>
      <c r="C15" s="1148" t="n"/>
      <c r="D15" s="1148" t="n"/>
      <c r="E15" s="1160" t="n"/>
      <c r="F15" s="1168" t="n"/>
      <c r="G15" s="1168" t="n"/>
      <c r="H15" s="1168" t="n"/>
      <c r="I15" s="1168" t="n"/>
      <c r="J15" s="1168" t="n"/>
      <c r="K15" s="1168" t="n"/>
      <c r="L15" s="1168" t="n"/>
      <c r="M15" s="1168" t="n"/>
      <c r="N15" s="1168" t="n"/>
      <c r="O15" s="1168" t="n"/>
      <c r="P15" s="1168" t="n"/>
      <c r="Q15" s="1168" t="n"/>
      <c r="R15" s="1168" t="n"/>
      <c r="S15" s="1168" t="n"/>
      <c r="T15" s="1168" t="n"/>
      <c r="U15" s="1168" t="n"/>
      <c r="V15" s="1148" t="n"/>
      <c r="W15" s="1148" t="n"/>
    </row>
    <row r="16" ht="21" customHeight="1" s="799">
      <c r="A16" s="1148" t="n"/>
      <c r="B16" s="1148" t="n"/>
      <c r="C16" s="1148" t="n"/>
      <c r="D16" s="1183" t="inlineStr">
        <is>
          <t xml:space="preserve">OPEX </t>
        </is>
      </c>
      <c r="E16" s="1184" t="n"/>
      <c r="F16" s="1185" t="n"/>
      <c r="G16" s="1185" t="n"/>
      <c r="H16" s="1185" t="n"/>
      <c r="I16" s="1185" t="n"/>
      <c r="J16" s="1185" t="n"/>
      <c r="K16" s="1185" t="n"/>
      <c r="L16" s="1185" t="n"/>
      <c r="M16" s="1185" t="n"/>
      <c r="N16" s="1185" t="n"/>
      <c r="O16" s="1185" t="n"/>
      <c r="P16" s="1185" t="n"/>
      <c r="Q16" s="1186" t="n"/>
      <c r="R16" s="1186" t="n"/>
      <c r="S16" s="1186" t="n"/>
      <c r="T16" s="1186" t="n"/>
      <c r="U16" s="1186" t="n"/>
      <c r="V16" s="1148" t="n"/>
      <c r="W16" s="1148" t="n"/>
    </row>
    <row r="17" ht="22" customHeight="1" s="799">
      <c r="A17" s="1148" t="n"/>
      <c r="B17" s="1148" t="n"/>
      <c r="C17" s="1148" t="n"/>
      <c r="D17" s="1174" t="inlineStr">
        <is>
          <t>Settlement and Warranty Fund</t>
        </is>
      </c>
      <c r="E17" s="1175" t="n"/>
      <c r="F17" s="1176" t="n"/>
      <c r="G17" s="1176" t="n"/>
      <c r="H17" s="1176" t="n"/>
      <c r="I17" s="1176" t="n"/>
      <c r="J17" s="1176" t="n"/>
      <c r="K17" s="1176" t="n"/>
      <c r="L17" s="1176" t="n"/>
      <c r="M17" s="1176" t="n"/>
      <c r="N17" s="1176" t="n"/>
      <c r="O17" s="1176" t="n">
        <v>0</v>
      </c>
      <c r="P17" s="1176" t="n"/>
      <c r="Q17" s="1176" t="n"/>
      <c r="R17" s="1176">
        <f>Q17</f>
        <v/>
      </c>
      <c r="S17" s="1176" t="n">
        <v>-4000000</v>
      </c>
      <c r="T17" s="1176">
        <f>S17</f>
        <v/>
      </c>
      <c r="U17" s="1176" t="n"/>
      <c r="V17" s="1148" t="n"/>
      <c r="W17" s="1148" t="n"/>
    </row>
    <row r="18" ht="22" customHeight="1" s="799">
      <c r="A18" s="1148" t="n"/>
      <c r="B18" s="1148" t="n"/>
      <c r="C18" s="1148" t="n"/>
      <c r="D18" s="1187" t="inlineStr">
        <is>
          <t xml:space="preserve">Mandarin Hotel  Pre-Opening Costs  </t>
        </is>
      </c>
      <c r="E18" s="1178" t="n"/>
      <c r="F18" s="1179" t="n">
        <v>-340000</v>
      </c>
      <c r="G18" s="1179" t="n"/>
      <c r="H18" s="1179" t="n">
        <v>-400000</v>
      </c>
      <c r="I18" s="1179" t="n">
        <v>-550000</v>
      </c>
      <c r="J18" s="1179" t="n">
        <v>-1150000</v>
      </c>
      <c r="K18" s="1179" t="n">
        <v>-1110000</v>
      </c>
      <c r="L18" s="1179" t="n">
        <v>-1110000</v>
      </c>
      <c r="M18" s="1179" t="n"/>
      <c r="N18" s="1179" t="n">
        <v>-980000</v>
      </c>
      <c r="O18" s="1179" t="n">
        <v>-5640000</v>
      </c>
      <c r="P18" s="1179" t="n"/>
      <c r="Q18" s="1179">
        <f>Q19+Q20</f>
        <v/>
      </c>
      <c r="R18" s="1179">
        <f>Q18</f>
        <v/>
      </c>
      <c r="S18" s="1179">
        <f>S19+S20</f>
        <v/>
      </c>
      <c r="T18" s="1179">
        <f>S18+R18</f>
        <v/>
      </c>
      <c r="U18" s="1179" t="n"/>
      <c r="V18" s="1148" t="n"/>
      <c r="W18" s="1148" t="n"/>
    </row>
    <row r="19" ht="21" customHeight="1" s="799">
      <c r="A19" s="1148" t="n"/>
      <c r="B19" s="1148" t="n"/>
      <c r="C19" s="1148" t="n"/>
      <c r="D19" s="1177" t="inlineStr">
        <is>
          <t>Hotel Staff</t>
        </is>
      </c>
      <c r="E19" s="1178" t="n"/>
      <c r="F19" s="1179" t="n">
        <v>-160000</v>
      </c>
      <c r="G19" s="1179" t="n"/>
      <c r="H19" s="1179" t="n">
        <v>-190000</v>
      </c>
      <c r="I19" s="1179" t="n">
        <v>-290000</v>
      </c>
      <c r="J19" s="1179" t="n">
        <v>-890000</v>
      </c>
      <c r="K19" s="1179" t="n">
        <v>-850000</v>
      </c>
      <c r="L19" s="1179" t="n">
        <v>-850000</v>
      </c>
      <c r="M19" s="1179" t="n"/>
      <c r="N19" s="1179" t="n">
        <v>-850000</v>
      </c>
      <c r="O19" s="1179" t="n">
        <v>-4080000</v>
      </c>
      <c r="P19" s="1179" t="n"/>
      <c r="Q19" s="1179" t="n">
        <v>-1700000</v>
      </c>
      <c r="R19" s="1179">
        <f>Q19</f>
        <v/>
      </c>
      <c r="S19" s="1179" t="n">
        <v>0</v>
      </c>
      <c r="T19" s="1179" t="n"/>
      <c r="U19" s="1179" t="n"/>
      <c r="V19" s="1148" t="n"/>
      <c r="W19" s="1148" t="n"/>
    </row>
    <row r="20" ht="21" customHeight="1" s="799">
      <c r="A20" s="1148" t="n"/>
      <c r="B20" s="1148" t="n"/>
      <c r="C20" s="1148" t="n"/>
      <c r="D20" s="1177" t="inlineStr">
        <is>
          <t>Marketing HotelCo and preopening costs</t>
        </is>
      </c>
      <c r="E20" s="1178" t="n"/>
      <c r="F20" s="1179" t="n">
        <v>-180000</v>
      </c>
      <c r="G20" s="1179" t="n"/>
      <c r="H20" s="1179" t="n">
        <v>-210000</v>
      </c>
      <c r="I20" s="1179" t="n">
        <v>-260000</v>
      </c>
      <c r="J20" s="1179" t="n">
        <v>-260000</v>
      </c>
      <c r="K20" s="1179" t="n">
        <v>-260000</v>
      </c>
      <c r="L20" s="1179" t="n">
        <v>-260000</v>
      </c>
      <c r="M20" s="1179" t="n"/>
      <c r="N20" s="1179" t="n">
        <v>-130000</v>
      </c>
      <c r="O20" s="1179" t="n">
        <v>-1560000</v>
      </c>
      <c r="P20" s="1179" t="n"/>
      <c r="Q20" s="1179" t="n">
        <v>-136000</v>
      </c>
      <c r="R20" s="1179">
        <f>Q20</f>
        <v/>
      </c>
      <c r="S20" s="1179" t="n">
        <v>-225000</v>
      </c>
      <c r="T20" s="1179" t="n"/>
      <c r="U20" s="1179" t="n"/>
      <c r="V20" s="1148" t="n"/>
      <c r="W20" s="1148" t="n"/>
    </row>
    <row r="21" ht="21" customHeight="1" s="799">
      <c r="A21" s="1148" t="n"/>
      <c r="B21" s="1148" t="n"/>
      <c r="C21" s="1148" t="n"/>
      <c r="D21" s="1177" t="inlineStr">
        <is>
          <t xml:space="preserve">Marketing AppartCo ( not yet calculated) </t>
        </is>
      </c>
      <c r="E21" s="1178" t="n"/>
      <c r="F21" s="1179" t="n"/>
      <c r="G21" s="1179" t="n"/>
      <c r="H21" s="1179" t="n"/>
      <c r="I21" s="1179" t="n"/>
      <c r="J21" s="1179" t="n"/>
      <c r="K21" s="1179" t="n"/>
      <c r="L21" s="1179" t="n"/>
      <c r="M21" s="1179" t="n"/>
      <c r="N21" s="1179" t="n"/>
      <c r="O21" s="1179" t="n">
        <v>0</v>
      </c>
      <c r="P21" s="1179" t="n"/>
      <c r="Q21" s="1179" t="n">
        <v>0</v>
      </c>
      <c r="R21" s="1179">
        <f>Q21</f>
        <v/>
      </c>
      <c r="S21" s="658" t="n">
        <v>0</v>
      </c>
      <c r="T21" s="1188" t="n"/>
      <c r="U21" s="1179" t="n"/>
      <c r="V21" s="1148" t="n"/>
      <c r="W21" s="1148" t="n"/>
    </row>
    <row r="22" ht="22" customHeight="1" s="799">
      <c r="A22" s="1148" t="n"/>
      <c r="B22" s="1148" t="n"/>
      <c r="C22" s="1148" t="n"/>
      <c r="D22" s="1187" t="inlineStr">
        <is>
          <t>Working Capital liquidity Hotel</t>
        </is>
      </c>
      <c r="E22" s="1178" t="n"/>
      <c r="F22" s="1179" t="n"/>
      <c r="G22" s="1179" t="n"/>
      <c r="H22" s="1179" t="n"/>
      <c r="I22" s="1179" t="n"/>
      <c r="J22" s="1179" t="n"/>
      <c r="K22" s="1179" t="n"/>
      <c r="L22" s="1179" t="n"/>
      <c r="M22" s="1179" t="n"/>
      <c r="N22" s="1179" t="n"/>
      <c r="O22" s="1179" t="n">
        <v>0</v>
      </c>
      <c r="P22" s="1179" t="n"/>
      <c r="Q22" s="1188" t="n">
        <v>0</v>
      </c>
      <c r="R22" s="1179">
        <f>Q22</f>
        <v/>
      </c>
      <c r="S22" s="1179" t="n">
        <v>-1500000</v>
      </c>
      <c r="T22" s="1179">
        <f>S22</f>
        <v/>
      </c>
      <c r="U22" s="1179" t="n"/>
      <c r="V22" s="1148" t="n"/>
      <c r="W22" s="1148" t="n"/>
    </row>
    <row r="23" ht="22" customHeight="1" s="799">
      <c r="A23" s="1148" t="n"/>
      <c r="B23" s="1148" t="n"/>
      <c r="C23" s="1148" t="n"/>
      <c r="D23" s="1187" t="inlineStr">
        <is>
          <t>OS&amp;E,IT and ART</t>
        </is>
      </c>
      <c r="E23" s="1178" t="n"/>
      <c r="F23" s="1179" t="n">
        <v>-1150000</v>
      </c>
      <c r="G23" s="1179" t="n"/>
      <c r="H23" s="1179" t="n">
        <v>-1071000</v>
      </c>
      <c r="I23" s="1179" t="n">
        <v>-350000</v>
      </c>
      <c r="J23" s="1179" t="n">
        <v>-150000</v>
      </c>
      <c r="K23" s="1179" t="n">
        <v>0</v>
      </c>
      <c r="L23" s="1179" t="n">
        <v>0</v>
      </c>
      <c r="M23" s="1179" t="n"/>
      <c r="N23" s="1179" t="n">
        <v>0</v>
      </c>
      <c r="O23" s="1179" t="n">
        <v>-2721000</v>
      </c>
      <c r="P23" s="1179" t="n"/>
      <c r="Q23" s="1179" t="n">
        <v>-851987</v>
      </c>
      <c r="R23" s="1179">
        <f>Q23</f>
        <v/>
      </c>
      <c r="S23" s="1179" t="n">
        <v>-395295</v>
      </c>
      <c r="T23" s="1179">
        <f>S23</f>
        <v/>
      </c>
      <c r="U23" s="1179" t="n"/>
      <c r="V23" s="1148" t="n"/>
      <c r="W23" s="1148" t="n"/>
    </row>
    <row r="24" ht="21" customHeight="1" s="799">
      <c r="A24" s="1148" t="n"/>
      <c r="B24" s="1148" t="n"/>
      <c r="C24" s="1148" t="n"/>
      <c r="D24" s="1187" t="inlineStr">
        <is>
          <t>sales Fee, property management</t>
        </is>
      </c>
      <c r="E24" s="1178" t="n"/>
      <c r="F24" s="1179" t="n"/>
      <c r="G24" s="1179" t="n"/>
      <c r="H24" s="1179" t="n"/>
      <c r="I24" s="1179" t="n"/>
      <c r="J24" s="1179" t="n"/>
      <c r="K24" s="1179" t="n"/>
      <c r="L24" s="1179" t="n"/>
      <c r="M24" s="1179" t="n"/>
      <c r="N24" s="1179" t="n"/>
      <c r="O24" s="1179" t="n">
        <v>0</v>
      </c>
      <c r="P24" s="1179" t="n"/>
      <c r="Q24" s="1179" t="n">
        <v>-1143556</v>
      </c>
      <c r="R24" s="1179">
        <f>Q24</f>
        <v/>
      </c>
      <c r="S24" s="1179" t="n">
        <v>-703531</v>
      </c>
      <c r="T24" s="1179">
        <f>S24</f>
        <v/>
      </c>
      <c r="U24" s="1179" t="n"/>
      <c r="V24" s="1148" t="n"/>
      <c r="W24" s="1148" t="n"/>
    </row>
    <row r="25" ht="22" customHeight="1" s="799">
      <c r="A25" s="1148" t="n"/>
      <c r="B25" s="1148" t="n"/>
      <c r="C25" s="1148" t="n"/>
      <c r="D25" s="1187" t="inlineStr">
        <is>
          <t>Bank Interests</t>
        </is>
      </c>
      <c r="E25" s="1178" t="n"/>
      <c r="F25" s="1179" t="n"/>
      <c r="G25" s="1179" t="n"/>
      <c r="H25" s="1179" t="n">
        <v>0</v>
      </c>
      <c r="I25" s="1179" t="n">
        <v>0</v>
      </c>
      <c r="J25" s="1179" t="n">
        <v>0</v>
      </c>
      <c r="K25" s="1179" t="n">
        <v>-3000000</v>
      </c>
      <c r="L25" s="1179" t="n">
        <v>0</v>
      </c>
      <c r="M25" s="1179" t="n"/>
      <c r="N25" s="1179" t="n">
        <v>0</v>
      </c>
      <c r="O25" s="1179" t="n">
        <v>-3000000</v>
      </c>
      <c r="P25" s="1179" t="n"/>
      <c r="Q25" s="1179" t="n">
        <v>-1049140</v>
      </c>
      <c r="R25" s="1179">
        <f>Q25</f>
        <v/>
      </c>
      <c r="S25" s="1179" t="n">
        <v>-3375964</v>
      </c>
      <c r="T25" s="1179">
        <f>S25</f>
        <v/>
      </c>
      <c r="U25" s="1179" t="n"/>
      <c r="V25" s="1148" t="n"/>
      <c r="W25" s="1148" t="n"/>
    </row>
    <row r="26" ht="22" customHeight="1" s="799" thickBot="1">
      <c r="A26" s="1148" t="n"/>
      <c r="B26" s="1148" t="n"/>
      <c r="C26" s="1148" t="n"/>
      <c r="D26" s="1187" t="inlineStr">
        <is>
          <t>VAT and Taxes</t>
        </is>
      </c>
      <c r="E26" s="1178" t="n"/>
      <c r="F26" s="1179" t="n">
        <v>-280000</v>
      </c>
      <c r="G26" s="1179" t="n"/>
      <c r="H26" s="1179" t="n">
        <v>-280000</v>
      </c>
      <c r="I26" s="1179" t="n">
        <v>-280000</v>
      </c>
      <c r="J26" s="1179" t="n">
        <v>-280000</v>
      </c>
      <c r="K26" s="1179" t="n">
        <v>0</v>
      </c>
      <c r="L26" s="1179" t="n">
        <v>0</v>
      </c>
      <c r="M26" s="1179" t="n"/>
      <c r="N26" s="1179" t="n">
        <v>0</v>
      </c>
      <c r="O26" s="1179" t="n">
        <v>-1120000</v>
      </c>
      <c r="P26" s="1179" t="n"/>
      <c r="Q26" s="1179" t="n">
        <v>373300</v>
      </c>
      <c r="R26" s="1179">
        <f>Q26</f>
        <v/>
      </c>
      <c r="S26" s="1179" t="n">
        <v>-5770000</v>
      </c>
      <c r="T26" s="1179">
        <f>S26</f>
        <v/>
      </c>
      <c r="U26" s="1179" t="n"/>
      <c r="V26" s="1148" t="n"/>
      <c r="W26" s="1148" t="n"/>
    </row>
    <row r="27" ht="22" customHeight="1" s="799" thickBot="1">
      <c r="A27" s="1148" t="n"/>
      <c r="B27" s="1148" t="n"/>
      <c r="C27" s="1148" t="n"/>
      <c r="D27" s="1189" t="inlineStr">
        <is>
          <t>Total Uses</t>
        </is>
      </c>
      <c r="E27" s="1190" t="n"/>
      <c r="F27" s="1191" t="n">
        <v>-6090606</v>
      </c>
      <c r="G27" s="1191" t="n"/>
      <c r="H27" s="1191" t="n">
        <v>-8012022.329166664</v>
      </c>
      <c r="I27" s="1191" t="n">
        <v>-7541022.329166664</v>
      </c>
      <c r="J27" s="1191" t="n">
        <v>-8582685.329166664</v>
      </c>
      <c r="K27" s="1191" t="n">
        <v>-9136592.8125</v>
      </c>
      <c r="L27" s="1191" t="n">
        <v>-2208625</v>
      </c>
      <c r="M27" s="1191" t="n"/>
      <c r="N27" s="1191" t="n">
        <v>-2650000</v>
      </c>
      <c r="O27" s="1191" t="n">
        <v>-44221553.79999999</v>
      </c>
      <c r="P27" s="1191" t="n"/>
      <c r="Q27" s="1191">
        <f>Q12+Q13+Q14+Q17+Q18+Q21+Q22+Q23+Q24+Q25+Q26</f>
        <v/>
      </c>
      <c r="R27" s="1191">
        <f>R12+R13+R14+R17+R18+R21+R22+R23+R24+R25+R26</f>
        <v/>
      </c>
      <c r="S27" s="1191">
        <f>S12+S13+S14+S17+S18+S19+S20+S21+S22+S23+S24+S25+S26</f>
        <v/>
      </c>
      <c r="T27" s="1191">
        <f>S27+R27</f>
        <v/>
      </c>
      <c r="U27" s="1191" t="n"/>
      <c r="V27" s="1148" t="n"/>
      <c r="W27" s="1148" t="n"/>
    </row>
    <row r="28" ht="20" customHeight="1" s="799" thickTop="1">
      <c r="A28" s="1148" t="n"/>
      <c r="B28" s="1148" t="n"/>
      <c r="C28" s="1148" t="n"/>
      <c r="D28" s="1148" t="n"/>
      <c r="E28" s="1160" t="n"/>
      <c r="F28" s="1148" t="n"/>
      <c r="G28" s="1148" t="n"/>
      <c r="H28" s="1148" t="n"/>
      <c r="I28" s="1148" t="n"/>
      <c r="J28" s="1148" t="n"/>
      <c r="K28" s="1148" t="n"/>
      <c r="L28" s="1148" t="n"/>
      <c r="M28" s="1148" t="n"/>
      <c r="N28" s="1148" t="n"/>
      <c r="O28" s="1148" t="n"/>
      <c r="P28" s="1148" t="n"/>
      <c r="Q28" s="1167" t="n"/>
      <c r="R28" s="1167" t="n"/>
      <c r="S28" s="1167" t="n"/>
      <c r="T28" s="1167" t="n"/>
      <c r="U28" s="1167" t="n"/>
      <c r="V28" s="1148" t="n"/>
      <c r="W28" s="1148" t="n"/>
    </row>
    <row r="29" ht="18" customHeight="1" s="799">
      <c r="A29" s="1148" t="n"/>
      <c r="B29" s="1148" t="n"/>
      <c r="C29" s="1148" t="n"/>
      <c r="D29" s="1183" t="inlineStr">
        <is>
          <t>Sources</t>
        </is>
      </c>
      <c r="E29" s="1192" t="n"/>
      <c r="F29" s="1193" t="n"/>
      <c r="G29" s="1193" t="n"/>
      <c r="H29" s="1193" t="n"/>
      <c r="I29" s="1193" t="n"/>
      <c r="J29" s="1193" t="n"/>
      <c r="K29" s="1193" t="n"/>
      <c r="L29" s="1193" t="n"/>
      <c r="M29" s="1193" t="n"/>
      <c r="N29" s="1193" t="n"/>
      <c r="O29" s="1193" t="n"/>
      <c r="P29" s="1185" t="n"/>
      <c r="Q29" s="1193" t="n"/>
      <c r="R29" s="1193" t="n"/>
      <c r="S29" s="1193" t="n"/>
      <c r="T29" s="1193" t="n"/>
      <c r="U29" s="1193" t="n"/>
      <c r="V29" s="1148" t="n"/>
      <c r="W29" s="1148" t="n"/>
    </row>
    <row r="30" ht="21" customHeight="1" s="799">
      <c r="A30" s="1148" t="n"/>
      <c r="B30" s="1148" t="n"/>
      <c r="C30" s="1148" t="n"/>
      <c r="D30" s="1174" t="inlineStr">
        <is>
          <t>Bank Finance</t>
        </is>
      </c>
      <c r="E30" s="1175" t="n"/>
      <c r="F30" s="1176" t="n">
        <v>6090606</v>
      </c>
      <c r="G30" s="1176" t="n"/>
      <c r="H30" s="1176" t="n">
        <v>8012022</v>
      </c>
      <c r="I30" s="1176" t="n">
        <v>711926</v>
      </c>
      <c r="J30" s="1176" t="n">
        <v>0</v>
      </c>
      <c r="K30" s="1176" t="n">
        <v>0</v>
      </c>
      <c r="L30" s="1176" t="n">
        <v>0</v>
      </c>
      <c r="M30" s="1176" t="n"/>
      <c r="N30" s="1176" t="n">
        <v>0</v>
      </c>
      <c r="O30" s="1176" t="n">
        <v>14814554</v>
      </c>
      <c r="P30" s="1176" t="n"/>
      <c r="Q30" s="1176" t="n"/>
      <c r="R30" s="1176" t="n"/>
      <c r="S30" s="1194" t="n"/>
      <c r="T30" s="1194" t="n"/>
      <c r="U30" s="1176" t="n"/>
      <c r="V30" s="1148" t="n"/>
      <c r="W30" s="1148" t="n"/>
    </row>
    <row r="31" ht="21" customHeight="1" s="799">
      <c r="A31" s="1148" t="n"/>
      <c r="B31" s="1148" t="n"/>
      <c r="C31" s="1148" t="n"/>
      <c r="D31" s="1187" t="inlineStr">
        <is>
          <t xml:space="preserve">Sales of Appartments </t>
        </is>
      </c>
      <c r="E31" s="1178" t="n"/>
      <c r="F31" s="1179" t="n"/>
      <c r="G31" s="1179" t="n"/>
      <c r="H31" s="1179" t="n"/>
      <c r="I31" s="1179" t="n"/>
      <c r="J31" s="1179" t="n"/>
      <c r="K31" s="1179" t="n"/>
      <c r="L31" s="1179" t="n"/>
      <c r="M31" s="1179" t="n"/>
      <c r="N31" s="1179" t="n"/>
      <c r="O31" s="1179" t="n">
        <v>0</v>
      </c>
      <c r="P31" s="1179" t="n"/>
      <c r="Q31" s="1179" t="n"/>
      <c r="R31" s="1179" t="n"/>
      <c r="S31" s="1179" t="n">
        <v>4430118</v>
      </c>
      <c r="T31" s="1179">
        <f>Q31+S31</f>
        <v/>
      </c>
      <c r="U31" s="1179">
        <f>'[1]BC Rev TL CF'!W31</f>
        <v/>
      </c>
      <c r="V31" s="1148" t="n"/>
      <c r="W31" s="1148" t="n"/>
    </row>
    <row r="32" ht="21" customHeight="1" s="799">
      <c r="A32" s="1148" t="n"/>
      <c r="B32" s="1148" t="n"/>
      <c r="C32" s="1148" t="n"/>
      <c r="D32" s="1187" t="inlineStr">
        <is>
          <t xml:space="preserve">S'Holder Total Capital Injection </t>
        </is>
      </c>
      <c r="E32" s="1178" t="n"/>
      <c r="F32" s="1179" t="n"/>
      <c r="G32" s="1179" t="n"/>
      <c r="H32" s="1179" t="n"/>
      <c r="I32" s="1179" t="n">
        <v>6829096.329166664</v>
      </c>
      <c r="J32" s="1179" t="n">
        <v>8582685.329166664</v>
      </c>
      <c r="K32" s="1179" t="n">
        <v>9136592.8125</v>
      </c>
      <c r="L32" s="1179" t="n">
        <v>2208625</v>
      </c>
      <c r="M32" s="1179" t="n"/>
      <c r="N32" s="1179" t="n">
        <v>2650000</v>
      </c>
      <c r="O32" s="1179" t="n">
        <v>29406999.47083333</v>
      </c>
      <c r="P32" s="1179" t="n"/>
      <c r="Q32" s="1179" t="n"/>
      <c r="R32" s="1179" t="n"/>
      <c r="S32" s="1188" t="n"/>
      <c r="T32" s="1179">
        <f>Q32+S32</f>
        <v/>
      </c>
      <c r="U32" s="1179" t="n"/>
      <c r="V32" s="1148" t="n"/>
      <c r="W32" s="1148" t="n"/>
    </row>
    <row r="33" ht="21" customHeight="1" s="799">
      <c r="A33" s="1148" t="n"/>
      <c r="B33" s="1148" t="n"/>
      <c r="C33" s="1148" t="n"/>
      <c r="D33" s="1177" t="inlineStr">
        <is>
          <t>Fund ( 52%) Actual Capital Injection</t>
        </is>
      </c>
      <c r="E33" s="661" t="n">
        <v>0.52</v>
      </c>
      <c r="F33" s="1179" t="n"/>
      <c r="G33" s="1179" t="n"/>
      <c r="H33" s="1179" t="n">
        <v>0</v>
      </c>
      <c r="I33" s="1179" t="n">
        <v>3551130.091166665</v>
      </c>
      <c r="J33" s="1179" t="n">
        <v>4462996.371166665</v>
      </c>
      <c r="K33" s="1179" t="n">
        <v>4751028.2625</v>
      </c>
      <c r="L33" s="1179" t="n">
        <v>1148485</v>
      </c>
      <c r="M33" s="1179" t="n"/>
      <c r="N33" s="1179" t="n">
        <v>1378000</v>
      </c>
      <c r="O33" s="1179" t="n">
        <v>15291639.72483333</v>
      </c>
      <c r="P33" s="1179" t="n"/>
      <c r="Q33" s="1179">
        <f>'[1]BC Rev TL CF'!AD33</f>
        <v/>
      </c>
      <c r="R33" s="1188" t="n"/>
      <c r="S33" s="1179">
        <f>'[1]BC Rev TL CF'!W32+'[1]BC Rev TL CF'!X32+'[1]BC Rev TL CF'!Z32</f>
        <v/>
      </c>
      <c r="T33" s="1179">
        <f>Q33+S33</f>
        <v/>
      </c>
      <c r="U33" s="1179">
        <f>(T27+T31+U31)*0.52*-1-T33</f>
        <v/>
      </c>
      <c r="V33" s="1148" t="n"/>
      <c r="W33" s="1148" t="n"/>
    </row>
    <row r="34" ht="21" customHeight="1" s="799" thickBot="1">
      <c r="A34" s="1148" t="n"/>
      <c r="B34" s="1148" t="n"/>
      <c r="C34" s="1148" t="n"/>
      <c r="D34" s="1177" t="inlineStr">
        <is>
          <t>Aelios (48%) Actual Capital Injection</t>
        </is>
      </c>
      <c r="E34" s="661" t="n">
        <v>0.48</v>
      </c>
      <c r="F34" s="1179" t="n"/>
      <c r="G34" s="1179" t="n"/>
      <c r="H34" s="1179" t="n">
        <v>0</v>
      </c>
      <c r="I34" s="1179" t="n">
        <v>0</v>
      </c>
      <c r="J34" s="1179" t="n">
        <v>0</v>
      </c>
      <c r="K34" s="1179" t="n">
        <v>4800000</v>
      </c>
      <c r="L34" s="1179" t="n">
        <v>1060140</v>
      </c>
      <c r="M34" s="1179" t="n"/>
      <c r="N34" s="1179" t="n">
        <v>1272000</v>
      </c>
      <c r="O34" s="1179" t="n">
        <v>14115359.746</v>
      </c>
      <c r="P34" s="1179" t="n"/>
      <c r="Q34" s="1188" t="n"/>
      <c r="R34" s="1188" t="n"/>
      <c r="S34" s="1179" t="n">
        <v>2500000</v>
      </c>
      <c r="T34" s="1179">
        <f>Q34+S34</f>
        <v/>
      </c>
      <c r="U34" s="1179">
        <f>(T27+T31+U31)*0.48*-1-T34</f>
        <v/>
      </c>
      <c r="V34" s="1148" t="n"/>
      <c r="W34" s="1148" t="n"/>
    </row>
    <row r="35" ht="22" customHeight="1" s="799" thickBot="1">
      <c r="A35" s="1148" t="n"/>
      <c r="B35" s="1148" t="n"/>
      <c r="C35" s="1148" t="n"/>
      <c r="D35" s="1195" t="inlineStr">
        <is>
          <t>Total Sources</t>
        </is>
      </c>
      <c r="E35" s="1196" t="n"/>
      <c r="F35" s="1197" t="n">
        <v>6090606</v>
      </c>
      <c r="G35" s="1197" t="n"/>
      <c r="H35" s="1197" t="n">
        <v>8012022</v>
      </c>
      <c r="I35" s="1197" t="n">
        <v>7541022.329166664</v>
      </c>
      <c r="J35" s="1197" t="n">
        <v>8582685.329166664</v>
      </c>
      <c r="K35" s="1197" t="n">
        <v>9136592.8125</v>
      </c>
      <c r="L35" s="1197" t="n">
        <v>2208625</v>
      </c>
      <c r="M35" s="1197" t="n"/>
      <c r="N35" s="1197" t="n">
        <v>2650000</v>
      </c>
      <c r="O35" s="1197" t="n">
        <v>29406999.47083333</v>
      </c>
      <c r="P35" s="1197" t="n"/>
      <c r="Q35" s="1197">
        <f>Q30+Q33+Q31+Q32</f>
        <v/>
      </c>
      <c r="R35" s="1197" t="n"/>
      <c r="S35" s="1197">
        <f>SUM(S30:S34)</f>
        <v/>
      </c>
      <c r="T35" s="1197">
        <f>SUM(T30:T34)</f>
        <v/>
      </c>
      <c r="U35" s="1197">
        <f>SUM(U30:U34)</f>
        <v/>
      </c>
      <c r="V35" s="1148" t="n"/>
      <c r="W35" s="1148" t="n"/>
    </row>
    <row r="36" ht="22" customHeight="1" s="799" thickTop="1">
      <c r="A36" s="1148" t="n"/>
      <c r="B36" s="1148" t="n"/>
      <c r="C36" s="1148" t="n"/>
      <c r="D36" s="1198" t="inlineStr">
        <is>
          <t>Balance at the end of period</t>
        </is>
      </c>
      <c r="E36" s="1198" t="n"/>
      <c r="F36" s="1199" t="n"/>
      <c r="G36" s="1199" t="n"/>
      <c r="H36" s="1199" t="n">
        <v>-0.3291666638106108</v>
      </c>
      <c r="I36" s="1199" t="n">
        <v>0</v>
      </c>
      <c r="J36" s="1199" t="n">
        <v>0</v>
      </c>
      <c r="K36" s="1199" t="n">
        <v>0</v>
      </c>
      <c r="L36" s="1199" t="n">
        <v>0</v>
      </c>
      <c r="M36" s="1199" t="n"/>
      <c r="N36" s="1199" t="n">
        <v>0</v>
      </c>
      <c r="O36" s="1199" t="n"/>
      <c r="P36" s="1199" t="n"/>
      <c r="Q36" s="1199">
        <f>Q10+Q27+Q35</f>
        <v/>
      </c>
      <c r="R36" s="1199" t="n"/>
      <c r="S36" s="1199">
        <f>S10+S27+S35</f>
        <v/>
      </c>
      <c r="T36" s="1199">
        <f>T27+T35</f>
        <v/>
      </c>
      <c r="U36" s="1199" t="n"/>
      <c r="V36" s="1148" t="n"/>
      <c r="W36" s="1148" t="n"/>
    </row>
    <row r="37" ht="21" customHeight="1" s="799">
      <c r="A37" s="1148" t="n"/>
      <c r="B37" s="1148" t="n"/>
      <c r="C37" s="1148" t="n"/>
      <c r="D37" s="1148" t="n"/>
      <c r="E37" s="1148" t="n"/>
      <c r="F37" s="1148" t="n"/>
      <c r="G37" s="1148" t="n"/>
      <c r="H37" s="1148" t="n"/>
      <c r="I37" s="1148" t="n"/>
      <c r="J37" s="1148" t="n"/>
      <c r="K37" s="1148" t="n"/>
      <c r="L37" s="1148" t="n"/>
      <c r="M37" s="1148" t="n"/>
      <c r="N37" s="1148" t="n"/>
      <c r="O37" s="1148" t="n"/>
      <c r="P37" s="1148" t="n"/>
      <c r="Q37" s="1148" t="n"/>
      <c r="R37" s="1148" t="n"/>
      <c r="S37" s="1148" t="n"/>
      <c r="T37" s="1148" t="n"/>
      <c r="U37" s="1148" t="n"/>
      <c r="V37" s="1148" t="n"/>
      <c r="W37" s="1148" t="n"/>
    </row>
    <row r="38" ht="24" customHeight="1" s="799">
      <c r="A38" s="1148" t="n"/>
      <c r="B38" s="1148" t="n"/>
      <c r="C38" s="630" t="inlineStr">
        <is>
          <t>B</t>
        </is>
      </c>
      <c r="D38" s="1183" t="inlineStr">
        <is>
          <t xml:space="preserve">Aelios (48%)  </t>
        </is>
      </c>
      <c r="E38" s="1200" t="n"/>
      <c r="F38" s="1183" t="n"/>
      <c r="G38" s="1183" t="n"/>
      <c r="H38" s="1183" t="n"/>
      <c r="I38" s="1183" t="n"/>
      <c r="J38" s="1201" t="inlineStr">
        <is>
          <t xml:space="preserve">If no income from  sales of appartments untill September 2025  </t>
        </is>
      </c>
      <c r="K38" s="1183" t="n"/>
      <c r="L38" s="1183" t="n"/>
      <c r="M38" s="1183" t="n"/>
      <c r="N38" s="1183" t="n"/>
      <c r="O38" s="1183" t="n"/>
      <c r="P38" s="1200" t="n"/>
      <c r="Q38" s="1200" t="n"/>
      <c r="R38" s="1200" t="n"/>
      <c r="S38" s="1200" t="n"/>
      <c r="T38" s="1200" t="n"/>
      <c r="U38" s="1200" t="n"/>
      <c r="V38" s="1148" t="n"/>
      <c r="W38" s="1148" t="n"/>
    </row>
    <row r="39" ht="22" customHeight="1" s="799">
      <c r="A39" s="1148" t="n"/>
      <c r="B39" s="1148" t="n"/>
      <c r="C39" s="1148" t="n"/>
      <c r="D39" s="1174" t="inlineStr">
        <is>
          <t xml:space="preserve">Aelios Contractually Due Capital Injection   </t>
        </is>
      </c>
      <c r="E39" s="664" t="n"/>
      <c r="F39" s="1174" t="n">
        <v>3033393</v>
      </c>
      <c r="G39" s="1174" t="n"/>
      <c r="H39" s="1174" t="n"/>
      <c r="I39" s="1174" t="n">
        <v>3277966.237999998</v>
      </c>
      <c r="J39" s="1174" t="n">
        <v>4119688.957999999</v>
      </c>
      <c r="K39" s="1174" t="n">
        <v>4385564.55</v>
      </c>
      <c r="L39" s="1174" t="n">
        <v>1060140</v>
      </c>
      <c r="M39" s="1174" t="n"/>
      <c r="N39" s="1174" t="n">
        <v>1272000</v>
      </c>
      <c r="O39" s="1174" t="n">
        <v>17148752.746</v>
      </c>
      <c r="P39" s="1174" t="n"/>
      <c r="Q39" s="1174" t="n"/>
      <c r="R39" s="1174" t="n"/>
      <c r="S39" s="1174" t="n"/>
      <c r="T39" s="1174" t="n"/>
      <c r="U39" s="1174" t="n"/>
      <c r="V39" s="1148" t="n"/>
      <c r="W39" s="1148" t="n"/>
    </row>
    <row r="40" ht="22" customHeight="1" s="799">
      <c r="A40" s="1148" t="n"/>
      <c r="B40" s="1148" t="n"/>
      <c r="C40" s="1148" t="n"/>
      <c r="D40" s="1187" t="inlineStr">
        <is>
          <t xml:space="preserve">Aelios Contractual due for  Shares of Appartco </t>
        </is>
      </c>
      <c r="E40" s="665" t="n"/>
      <c r="F40" s="1187" t="n"/>
      <c r="G40" s="1187" t="n"/>
      <c r="H40" s="1187" t="n">
        <v>5800000</v>
      </c>
      <c r="I40" s="1187" t="n"/>
      <c r="J40" s="1187" t="n"/>
      <c r="K40" s="1187" t="n"/>
      <c r="L40" s="1187" t="n"/>
      <c r="M40" s="1187" t="n"/>
      <c r="N40" s="1187" t="n"/>
      <c r="O40" s="1187" t="n">
        <v>5800000</v>
      </c>
      <c r="P40" s="1187" t="n"/>
      <c r="Q40" s="1187" t="n"/>
      <c r="R40" s="1187" t="n"/>
      <c r="S40" s="1187" t="n"/>
      <c r="T40" s="1187" t="n"/>
      <c r="U40" s="1187" t="n"/>
      <c r="V40" s="1148" t="n"/>
      <c r="W40" s="1148" t="n"/>
    </row>
    <row r="41" ht="22" customHeight="1" s="799">
      <c r="A41" s="1148" t="n"/>
      <c r="B41" s="1148" t="n"/>
      <c r="C41" s="1148" t="n"/>
      <c r="D41" s="1202" t="inlineStr">
        <is>
          <t>Total Pmts</t>
        </is>
      </c>
      <c r="E41" s="665" t="n"/>
      <c r="F41" s="1187">
        <f>F39+F40</f>
        <v/>
      </c>
      <c r="G41" s="1187" t="n"/>
      <c r="H41" s="1187">
        <f>H39+H40</f>
        <v/>
      </c>
      <c r="I41" s="1187">
        <f>I39+I40</f>
        <v/>
      </c>
      <c r="J41" s="1187">
        <f>J39+J40</f>
        <v/>
      </c>
      <c r="K41" s="1187">
        <f>K39+K40</f>
        <v/>
      </c>
      <c r="L41" s="1187">
        <f>L39+L40</f>
        <v/>
      </c>
      <c r="M41" s="1187" t="n"/>
      <c r="N41" s="1187">
        <f>N39+N40</f>
        <v/>
      </c>
      <c r="O41" s="1187">
        <f>O39+O40</f>
        <v/>
      </c>
      <c r="P41" s="1187" t="n"/>
      <c r="Q41" s="1187" t="n"/>
      <c r="R41" s="1187" t="n"/>
      <c r="S41" s="1187" t="n"/>
      <c r="T41" s="1187" t="n"/>
      <c r="U41" s="1187" t="n"/>
      <c r="V41" s="1148" t="n"/>
      <c r="W41" s="1148" t="n"/>
    </row>
    <row r="42" ht="21" customFormat="1" customHeight="1" s="1203">
      <c r="A42" s="1148" t="n"/>
      <c r="B42" s="1148" t="n"/>
      <c r="C42" s="1148" t="n"/>
      <c r="D42" s="1187" t="inlineStr">
        <is>
          <t xml:space="preserve">Aelios  Actually Invested &amp; Agreed </t>
        </is>
      </c>
      <c r="E42" s="665" t="n"/>
      <c r="F42" s="1187" t="n">
        <v>0</v>
      </c>
      <c r="G42" s="1187" t="n"/>
      <c r="H42" s="1187" t="n">
        <v>5500000</v>
      </c>
      <c r="I42" s="1187" t="n">
        <v>0</v>
      </c>
      <c r="J42" s="1187" t="n">
        <v>0</v>
      </c>
      <c r="K42" s="1187" t="n">
        <v>4800000</v>
      </c>
      <c r="L42" s="1187" t="n"/>
      <c r="M42" s="1187" t="n"/>
      <c r="N42" s="1187" t="n"/>
      <c r="O42" s="1187" t="n">
        <v>10300000</v>
      </c>
      <c r="P42" s="1187" t="n"/>
      <c r="Q42" s="1187" t="n"/>
      <c r="R42" s="1187" t="n"/>
      <c r="S42" s="1187" t="n"/>
      <c r="T42" s="1187" t="n"/>
      <c r="U42" s="1187" t="n"/>
      <c r="V42" s="1148" t="n"/>
      <c r="W42" s="1148" t="n"/>
    </row>
    <row r="43" ht="22" customFormat="1" customHeight="1" s="1203">
      <c r="A43" s="1148" t="n"/>
      <c r="B43" s="1148" t="n"/>
      <c r="C43" s="1148" t="n"/>
      <c r="D43" s="1187" t="inlineStr">
        <is>
          <t xml:space="preserve">Aelios  Overdue </t>
        </is>
      </c>
      <c r="E43" s="665" t="n"/>
      <c r="F43" s="1187">
        <f>F41-F42</f>
        <v/>
      </c>
      <c r="G43" s="1187" t="n"/>
      <c r="H43" s="1187">
        <f>H41-H42</f>
        <v/>
      </c>
      <c r="I43" s="1187">
        <f>I41-I42</f>
        <v/>
      </c>
      <c r="J43" s="1187">
        <f>J41-J42</f>
        <v/>
      </c>
      <c r="K43" s="1187">
        <f>K41-K42</f>
        <v/>
      </c>
      <c r="L43" s="1187">
        <f>L41-L42</f>
        <v/>
      </c>
      <c r="M43" s="1187" t="n"/>
      <c r="N43" s="1187">
        <f>N41-N42</f>
        <v/>
      </c>
      <c r="O43" s="1187">
        <f>O41-O42</f>
        <v/>
      </c>
      <c r="P43" s="1187" t="n"/>
      <c r="Q43" s="1187" t="n"/>
      <c r="R43" s="1187" t="n"/>
      <c r="S43" s="1187" t="n"/>
      <c r="T43" s="1187" t="n"/>
      <c r="U43" s="1187" t="n"/>
      <c r="V43" s="1148" t="n"/>
      <c r="W43" s="1148" t="n"/>
    </row>
    <row r="44" ht="22" customHeight="1" s="799">
      <c r="A44" s="1148" t="n"/>
      <c r="B44" s="1148" t="n"/>
      <c r="C44" s="1148" t="n"/>
      <c r="D44" s="1204" t="inlineStr">
        <is>
          <t xml:space="preserve">Aelios Accumulative Overdue </t>
        </is>
      </c>
      <c r="E44" s="1205" t="n"/>
      <c r="F44" s="1205">
        <f>F43</f>
        <v/>
      </c>
      <c r="G44" s="1205" t="n"/>
      <c r="H44" s="1205">
        <f>F44+H43</f>
        <v/>
      </c>
      <c r="I44" s="1205">
        <f>H44+I43</f>
        <v/>
      </c>
      <c r="J44" s="1205">
        <f>I44+J43</f>
        <v/>
      </c>
      <c r="K44" s="1205">
        <f>J44+K43</f>
        <v/>
      </c>
      <c r="L44" s="1205">
        <f>K44+L43</f>
        <v/>
      </c>
      <c r="M44" s="1205" t="n"/>
      <c r="N44" s="1205">
        <f>L44+N43</f>
        <v/>
      </c>
      <c r="O44" s="1205">
        <f>O43</f>
        <v/>
      </c>
      <c r="P44" s="1205" t="n"/>
      <c r="Q44" s="1205" t="n"/>
      <c r="R44" s="1205" t="n"/>
      <c r="S44" s="1205" t="n"/>
      <c r="T44" s="1205" t="n"/>
      <c r="U44" s="1205" t="n"/>
      <c r="V44" s="1148" t="n"/>
      <c r="W44" s="1148" t="n"/>
    </row>
    <row r="45">
      <c r="A45" s="1148" t="n"/>
      <c r="B45" s="1148" t="n"/>
      <c r="C45" s="1148" t="n"/>
      <c r="D45" s="1148" t="n"/>
      <c r="E45" s="1148" t="n"/>
      <c r="F45" s="1148" t="n"/>
      <c r="G45" s="1148" t="n"/>
      <c r="H45" s="1148" t="n"/>
      <c r="I45" s="1148" t="n"/>
      <c r="J45" s="1148" t="n"/>
      <c r="K45" s="1148" t="n"/>
      <c r="L45" s="1148" t="n"/>
      <c r="M45" s="1148" t="n"/>
      <c r="N45" s="1148" t="n"/>
      <c r="O45" s="1148" t="n"/>
      <c r="P45" s="1148" t="n"/>
      <c r="Q45" s="1148" t="n"/>
      <c r="R45" s="1148" t="n"/>
      <c r="S45" s="1148" t="n"/>
      <c r="T45" s="1148" t="n"/>
      <c r="U45" s="1148" t="n"/>
      <c r="V45" s="1148" t="n"/>
      <c r="W45" s="1148" t="n"/>
    </row>
    <row r="46" hidden="1" s="799">
      <c r="A46" s="1148" t="n"/>
      <c r="B46" s="1148" t="n"/>
      <c r="C46" s="1148" t="n"/>
      <c r="D46" s="1148" t="n"/>
      <c r="E46" s="1148" t="n"/>
      <c r="F46" s="1148" t="n"/>
      <c r="G46" s="1148" t="n"/>
      <c r="H46" s="1148" t="n"/>
      <c r="I46" s="1148" t="n"/>
      <c r="J46" s="1148" t="n"/>
      <c r="K46" s="1148" t="n"/>
      <c r="L46" s="1148" t="n"/>
      <c r="M46" s="1148" t="n"/>
      <c r="N46" s="1148" t="n"/>
      <c r="O46" s="1148" t="n"/>
      <c r="P46" s="1148" t="n"/>
      <c r="Q46" s="1148" t="n"/>
      <c r="R46" s="1148" t="n"/>
      <c r="S46" s="1148" t="n"/>
      <c r="T46" s="1148" t="n"/>
      <c r="U46" s="1148" t="n"/>
      <c r="V46" s="1148" t="n"/>
      <c r="W46" s="1148" t="n"/>
    </row>
    <row r="47" hidden="1" ht="24" customHeight="1" s="799">
      <c r="A47" s="1148" t="n"/>
      <c r="B47" s="1148" t="n"/>
      <c r="C47" s="630" t="inlineStr">
        <is>
          <t>C</t>
        </is>
      </c>
      <c r="D47" s="1183" t="inlineStr">
        <is>
          <t xml:space="preserve">Fund  ( 52%) </t>
        </is>
      </c>
      <c r="E47" s="1200" t="n"/>
      <c r="F47" s="1183" t="n"/>
      <c r="G47" s="1183" t="n"/>
      <c r="H47" s="1183" t="n"/>
      <c r="I47" s="1183" t="n"/>
      <c r="J47" s="1201" t="inlineStr">
        <is>
          <t xml:space="preserve">If no income from sales of appartments untill September 2025  </t>
        </is>
      </c>
      <c r="K47" s="1183" t="n"/>
      <c r="L47" s="1183" t="n"/>
      <c r="M47" s="1183" t="n"/>
      <c r="N47" s="1183" t="n"/>
      <c r="O47" s="1183" t="n"/>
      <c r="P47" s="1200" t="n"/>
      <c r="Q47" s="1200" t="n"/>
      <c r="R47" s="1200" t="n"/>
      <c r="S47" s="1200" t="n"/>
      <c r="T47" s="1200" t="n"/>
      <c r="U47" s="1200" t="n"/>
      <c r="V47" s="1148" t="n"/>
      <c r="W47" s="1148" t="n"/>
    </row>
    <row r="48" hidden="1" ht="21" customHeight="1" s="799">
      <c r="A48" s="1148" t="n"/>
      <c r="B48" s="1148" t="n"/>
      <c r="C48" s="1148" t="n"/>
      <c r="D48" s="1174" t="inlineStr">
        <is>
          <t>Fund Contractually due  Capital Injection</t>
        </is>
      </c>
      <c r="E48" s="664" t="n"/>
      <c r="F48" s="1174" t="n">
        <v>0</v>
      </c>
      <c r="G48" s="1174" t="n"/>
      <c r="H48" s="1174" t="n">
        <v>0</v>
      </c>
      <c r="I48" s="1174" t="n">
        <v>-3551130.091166665</v>
      </c>
      <c r="J48" s="1174" t="n">
        <v>-4462996.371166665</v>
      </c>
      <c r="K48" s="1174" t="n">
        <v>-4751028.2625</v>
      </c>
      <c r="L48" s="1174" t="n">
        <v>-1148485</v>
      </c>
      <c r="M48" s="1174" t="n"/>
      <c r="N48" s="1174" t="n">
        <v>-1378000</v>
      </c>
      <c r="O48" s="1174" t="n"/>
      <c r="P48" s="1174" t="n"/>
      <c r="Q48" s="1174" t="n"/>
      <c r="R48" s="1174" t="n"/>
      <c r="S48" s="1174" t="n"/>
      <c r="T48" s="1174" t="n"/>
      <c r="U48" s="1174" t="n"/>
      <c r="V48" s="1148" t="n"/>
      <c r="W48" s="1148" t="n"/>
    </row>
    <row r="49" hidden="1" ht="21" customFormat="1" customHeight="1" s="1203">
      <c r="A49" s="1148" t="n"/>
      <c r="B49" s="1148" t="n"/>
      <c r="C49" s="1148" t="n"/>
      <c r="D49" s="1187" t="inlineStr">
        <is>
          <t xml:space="preserve">Fund Actually Invested </t>
        </is>
      </c>
      <c r="E49" s="665" t="n"/>
      <c r="F49" s="1187" t="n">
        <v>3033393</v>
      </c>
      <c r="G49" s="1187" t="n"/>
      <c r="H49" s="1187" t="n">
        <v>0</v>
      </c>
      <c r="I49" s="1187" t="n">
        <v>3551130.091166665</v>
      </c>
      <c r="J49" s="1187" t="n">
        <v>4462996.371166665</v>
      </c>
      <c r="K49" s="1187" t="n">
        <v>4751028.2625</v>
      </c>
      <c r="L49" s="1187" t="n">
        <v>1148485</v>
      </c>
      <c r="M49" s="1187" t="n"/>
      <c r="N49" s="1187" t="n">
        <v>1378000</v>
      </c>
      <c r="O49" s="1187" t="n"/>
      <c r="P49" s="1187" t="n"/>
      <c r="Q49" s="1187" t="n"/>
      <c r="R49" s="1187" t="n"/>
      <c r="S49" s="1187" t="n"/>
      <c r="T49" s="1187" t="n"/>
      <c r="U49" s="1187" t="n"/>
      <c r="V49" s="1148" t="n"/>
      <c r="W49" s="1148" t="n"/>
    </row>
    <row r="50" hidden="1" ht="22" customFormat="1" customHeight="1" s="1206">
      <c r="A50" s="1148" t="n"/>
      <c r="B50" s="1148" t="n"/>
      <c r="C50" s="1148" t="n"/>
      <c r="D50" s="1187" t="inlineStr">
        <is>
          <t xml:space="preserve">Fund Over-invested </t>
        </is>
      </c>
      <c r="E50" s="665" t="n"/>
      <c r="F50" s="1187" t="n">
        <v>3033393</v>
      </c>
      <c r="G50" s="1187" t="n"/>
      <c r="H50" s="1187" t="n">
        <v>0</v>
      </c>
      <c r="I50" s="1187" t="n">
        <v>0</v>
      </c>
      <c r="J50" s="1187" t="n">
        <v>0</v>
      </c>
      <c r="K50" s="1187" t="n">
        <v>-414435.4500000002</v>
      </c>
      <c r="L50" s="1187" t="n">
        <v>1060140</v>
      </c>
      <c r="M50" s="1187" t="n"/>
      <c r="N50" s="1187" t="n">
        <v>1272000</v>
      </c>
      <c r="O50" s="1187" t="n">
        <v>4951097.55</v>
      </c>
      <c r="P50" s="1187" t="n"/>
      <c r="Q50" s="1187" t="n"/>
      <c r="R50" s="1187" t="n"/>
      <c r="S50" s="1187" t="n"/>
      <c r="T50" s="1187" t="n"/>
      <c r="U50" s="1187" t="n"/>
      <c r="V50" s="1148" t="n"/>
      <c r="W50" s="1148" t="n"/>
    </row>
    <row r="51" hidden="1" ht="22" customFormat="1" customHeight="1" s="1207">
      <c r="A51" s="1148" t="n"/>
      <c r="B51" s="1148" t="n"/>
      <c r="C51" s="1148" t="n"/>
      <c r="D51" s="1204" t="inlineStr">
        <is>
          <t xml:space="preserve">Fund Over-invested Accumulated </t>
        </is>
      </c>
      <c r="E51" s="1205" t="n"/>
      <c r="F51" s="1205">
        <f>F50</f>
        <v/>
      </c>
      <c r="G51" s="1205" t="n"/>
      <c r="H51" s="1205">
        <f>F51+H50</f>
        <v/>
      </c>
      <c r="I51" s="1205">
        <f>H51+I50</f>
        <v/>
      </c>
      <c r="J51" s="1205">
        <f>I51+J50</f>
        <v/>
      </c>
      <c r="K51" s="1205">
        <f>J51+K50</f>
        <v/>
      </c>
      <c r="L51" s="1205">
        <f>K51+L50</f>
        <v/>
      </c>
      <c r="M51" s="1205" t="n"/>
      <c r="N51" s="1205">
        <f>L51+N50</f>
        <v/>
      </c>
      <c r="O51" s="1205">
        <f>O50</f>
        <v/>
      </c>
      <c r="P51" s="1205" t="n"/>
      <c r="Q51" s="1205" t="n"/>
      <c r="R51" s="1205" t="n"/>
      <c r="S51" s="1205" t="n"/>
      <c r="T51" s="1205" t="n"/>
      <c r="U51" s="1205" t="n"/>
      <c r="V51" s="1148" t="n"/>
      <c r="W51" s="1148" t="n"/>
    </row>
    <row r="52" hidden="1" s="799">
      <c r="A52" s="1148" t="n"/>
      <c r="B52" s="1148" t="n"/>
      <c r="C52" s="1148" t="n"/>
      <c r="D52" s="1148" t="n"/>
      <c r="E52" s="1148" t="n"/>
      <c r="F52" s="1148" t="n"/>
      <c r="G52" s="1148" t="n"/>
      <c r="H52" s="1148" t="n"/>
      <c r="I52" s="1148" t="n"/>
      <c r="J52" s="1148" t="n"/>
      <c r="K52" s="1148" t="n"/>
      <c r="L52" s="1148" t="n"/>
      <c r="M52" s="1148" t="n"/>
      <c r="N52" s="1148" t="n"/>
      <c r="O52" s="1148" t="n"/>
      <c r="P52" s="1148" t="n"/>
      <c r="Q52" s="1148" t="n"/>
      <c r="R52" s="1148" t="n"/>
      <c r="S52" s="1148" t="n"/>
      <c r="T52" s="1148" t="n"/>
      <c r="U52" s="1148" t="n"/>
      <c r="V52" s="1148" t="n"/>
      <c r="W52" s="1148" t="n"/>
    </row>
    <row r="53" hidden="1" s="799">
      <c r="A53" s="1148" t="n"/>
      <c r="B53" s="1148" t="n"/>
      <c r="C53" s="1148" t="n"/>
      <c r="D53" s="1148" t="n"/>
      <c r="E53" s="1148" t="n"/>
      <c r="F53" s="1148" t="n"/>
      <c r="G53" s="1148" t="n"/>
      <c r="H53" s="1148" t="n"/>
      <c r="I53" s="1148" t="n"/>
      <c r="J53" s="1148" t="n"/>
      <c r="K53" s="1148" t="n"/>
      <c r="L53" s="1148" t="n"/>
      <c r="M53" s="1148" t="n"/>
      <c r="N53" s="1148" t="n"/>
      <c r="O53" s="1148" t="n"/>
      <c r="P53" s="1148" t="n"/>
      <c r="Q53" s="1148" t="n"/>
      <c r="R53" s="1148" t="n"/>
      <c r="S53" s="1148" t="n"/>
      <c r="T53" s="1148" t="n"/>
      <c r="U53" s="1148" t="n"/>
      <c r="V53" s="1148" t="n"/>
      <c r="W53" s="1148" t="n"/>
    </row>
    <row r="54">
      <c r="A54" s="1148" t="n"/>
      <c r="B54" s="1148" t="n"/>
      <c r="C54" s="1148" t="n"/>
      <c r="D54" s="1148" t="n"/>
      <c r="E54" s="1148" t="n"/>
      <c r="F54" s="1148" t="n"/>
      <c r="G54" s="1148" t="n"/>
      <c r="H54" s="1148" t="n"/>
      <c r="I54" s="1148" t="n"/>
      <c r="J54" s="1148" t="n"/>
      <c r="K54" s="1148" t="n"/>
      <c r="L54" s="1148" t="n"/>
      <c r="M54" s="1148" t="n"/>
      <c r="N54" s="1148" t="n"/>
      <c r="O54" s="1148" t="n"/>
      <c r="P54" s="1148" t="n"/>
      <c r="Q54" s="1148" t="n"/>
      <c r="R54" s="1148" t="n"/>
      <c r="S54" s="1148" t="n"/>
      <c r="T54" s="1148" t="n"/>
      <c r="U54" s="1148" t="n"/>
      <c r="V54" s="1148" t="n"/>
      <c r="W54" s="1148" t="n"/>
    </row>
    <row r="55" ht="48" customHeight="1" s="799">
      <c r="A55" s="1148" t="n"/>
      <c r="B55" s="1148" t="n"/>
      <c r="C55" s="1148" t="n"/>
      <c r="D55" s="1148" t="n"/>
      <c r="E55" s="1148" t="n"/>
      <c r="F55" s="1208" t="inlineStr">
        <is>
          <t>Funding Provided by the Parties
(before opening)</t>
        </is>
      </c>
      <c r="L55" s="1209" t="n"/>
      <c r="M55" s="1148" t="inlineStr">
        <is>
          <t>Funding 1 and Funding 2 Provided by the Parties
(post opening)</t>
        </is>
      </c>
      <c r="N55" s="1208" t="n"/>
      <c r="S55" s="1148" t="n"/>
      <c r="T55" s="1148" t="n"/>
      <c r="U55" s="1148" t="n"/>
      <c r="V55" s="1148" t="n"/>
      <c r="W55" s="1148" t="n"/>
    </row>
    <row r="56" ht="37" customFormat="1" customHeight="1" s="679">
      <c r="A56" s="674" t="n"/>
      <c r="B56" s="674" t="n"/>
      <c r="C56" s="674" t="n"/>
      <c r="D56" s="674" t="n"/>
      <c r="E56" s="674" t="n"/>
      <c r="F56" s="761" t="inlineStr">
        <is>
          <t>Parties</t>
        </is>
      </c>
      <c r="G56" s="761" t="n"/>
      <c r="H56" s="761" t="inlineStr">
        <is>
          <t>by 31.06.2025</t>
        </is>
      </c>
      <c r="I56" s="1210" t="n"/>
      <c r="J56" s="761" t="inlineStr">
        <is>
          <t>by 31.10.2025</t>
        </is>
      </c>
      <c r="K56" s="1210" t="n"/>
      <c r="L56" s="676" t="n"/>
      <c r="M56" s="674" t="n"/>
      <c r="N56" s="1211" t="inlineStr">
        <is>
          <t>Parties</t>
        </is>
      </c>
      <c r="O56" s="1211" t="inlineStr">
        <is>
          <t>31.09.2025 – 31.12.2025</t>
        </is>
      </c>
      <c r="P56" s="1210" t="n"/>
      <c r="Q56" s="1211" t="inlineStr">
        <is>
          <t>31.12.2025 – 31.03.2026</t>
        </is>
      </c>
      <c r="R56" s="1210" t="n"/>
      <c r="S56" s="674" t="n"/>
      <c r="T56" s="674" t="n"/>
      <c r="U56" s="678" t="n"/>
      <c r="V56" s="678" t="n"/>
      <c r="W56" s="678" t="n"/>
    </row>
    <row r="57" ht="36" customFormat="1" customHeight="1" s="1212">
      <c r="A57" s="1165" t="n"/>
      <c r="B57" s="1165" t="n"/>
      <c r="C57" s="1165" t="n"/>
      <c r="D57" s="1165" t="n"/>
      <c r="E57" s="1165" t="n"/>
      <c r="F57" s="1213" t="n"/>
      <c r="G57" s="1213" t="n"/>
      <c r="H57" s="1214" t="inlineStr">
        <is>
          <t>Required Funding</t>
        </is>
      </c>
      <c r="I57" s="1214" t="inlineStr">
        <is>
          <t>Parties Loans Provided</t>
        </is>
      </c>
      <c r="J57" s="1214" t="inlineStr">
        <is>
          <t>Required Funding</t>
        </is>
      </c>
      <c r="K57" s="1214" t="inlineStr">
        <is>
          <t>Parties Loans Provided</t>
        </is>
      </c>
      <c r="L57" s="1213" t="n"/>
      <c r="M57" s="1165" t="n"/>
      <c r="N57" s="1215" t="n"/>
      <c r="O57" s="1214" t="inlineStr">
        <is>
          <t>Required Additional Funding 1</t>
        </is>
      </c>
      <c r="P57" s="1214" t="inlineStr">
        <is>
          <t>Parties Loans Provided</t>
        </is>
      </c>
      <c r="Q57" s="1214" t="inlineStr">
        <is>
          <t>Required Additional Funding 2</t>
        </is>
      </c>
      <c r="R57" s="1214" t="inlineStr">
        <is>
          <t>Parties Loans Provided</t>
        </is>
      </c>
      <c r="S57" s="1165" t="n"/>
      <c r="T57" s="1165" t="n"/>
      <c r="U57" s="1165" t="n"/>
      <c r="V57" s="1165" t="n"/>
      <c r="W57" s="1165" t="n"/>
    </row>
    <row r="58" customFormat="1" s="1212">
      <c r="A58" s="1165" t="n"/>
      <c r="B58" s="1165" t="n"/>
      <c r="C58" s="1165" t="n"/>
      <c r="D58" s="1165" t="n"/>
      <c r="E58" s="1165" t="n"/>
      <c r="F58" s="1216" t="n"/>
      <c r="G58" s="1216" t="n"/>
      <c r="H58" s="1216" t="n"/>
      <c r="I58" s="1216" t="n"/>
      <c r="J58" s="1216" t="n"/>
      <c r="K58" s="1216" t="n"/>
      <c r="L58" s="1216" t="n"/>
      <c r="M58" s="1165" t="n"/>
      <c r="N58" s="1217" t="n"/>
      <c r="O58" s="1218" t="n"/>
      <c r="P58" s="1218" t="n"/>
      <c r="Q58" s="1218" t="n"/>
      <c r="R58" s="1218" t="n"/>
      <c r="S58" s="1165" t="n"/>
      <c r="T58" s="1165" t="n"/>
      <c r="U58" s="1165" t="n"/>
      <c r="V58" s="1165" t="n"/>
      <c r="W58" s="1165" t="n"/>
    </row>
    <row r="59" ht="17" customFormat="1" customHeight="1" s="1212">
      <c r="A59" s="1165" t="n"/>
      <c r="B59" s="1165" t="n"/>
      <c r="C59" s="1165" t="n"/>
      <c r="D59" s="1165" t="n"/>
      <c r="E59" s="1165" t="n"/>
      <c r="F59" s="1219" t="inlineStr">
        <is>
          <t>Fund (52%)</t>
        </is>
      </c>
      <c r="G59" s="1219" t="n"/>
      <c r="H59" s="1220">
        <f>ROUND(O33,0)</f>
        <v/>
      </c>
      <c r="I59" s="1220" t="n">
        <v>15333393</v>
      </c>
      <c r="J59" s="1220" t="n">
        <v>18577815</v>
      </c>
      <c r="K59" s="1220" t="n">
        <v>18577815</v>
      </c>
      <c r="L59" s="1221" t="n"/>
      <c r="M59" s="1165" t="n"/>
      <c r="N59" s="1217" t="inlineStr">
        <is>
          <t>Fund (52%)</t>
        </is>
      </c>
      <c r="O59" s="1218">
        <f>$E$33*O61</f>
        <v/>
      </c>
      <c r="P59" s="1218">
        <f>Q33</f>
        <v/>
      </c>
      <c r="Q59" s="1218">
        <f>$E$33*Q61</f>
        <v/>
      </c>
      <c r="R59" s="743">
        <f>S33</f>
        <v/>
      </c>
      <c r="S59" s="1165" t="n"/>
      <c r="T59" s="1165" t="n"/>
      <c r="U59" s="1165" t="n"/>
      <c r="V59" s="1165" t="n"/>
      <c r="W59" s="1165" t="n"/>
    </row>
    <row r="60" ht="17" customFormat="1" customHeight="1" s="1212" thickBot="1">
      <c r="A60" s="1165" t="n"/>
      <c r="B60" s="1165" t="n"/>
      <c r="C60" s="1165" t="n"/>
      <c r="D60" s="1165" t="n"/>
      <c r="E60" s="1165" t="n"/>
      <c r="F60" s="1219" t="inlineStr">
        <is>
          <t>Aelios (48%)</t>
        </is>
      </c>
      <c r="G60" s="1219" t="n"/>
      <c r="H60" s="1220">
        <f>ROUND(O34,0)</f>
        <v/>
      </c>
      <c r="I60" s="1220" t="n">
        <v>4800000</v>
      </c>
      <c r="J60" s="1220" t="n">
        <v>17148752</v>
      </c>
      <c r="K60" s="1220" t="n">
        <v>17148752</v>
      </c>
      <c r="L60" s="1221" t="n"/>
      <c r="M60" s="1165" t="n"/>
      <c r="N60" s="1217" t="inlineStr">
        <is>
          <t>Aelios (48%)</t>
        </is>
      </c>
      <c r="O60" s="1218">
        <f>$E$34*O61</f>
        <v/>
      </c>
      <c r="P60" s="744" t="inlineStr">
        <is>
          <t>not provided</t>
        </is>
      </c>
      <c r="Q60" s="1218">
        <f>$E$34*Q61</f>
        <v/>
      </c>
      <c r="R60" s="743">
        <f>S34</f>
        <v/>
      </c>
      <c r="S60" s="1165" t="n"/>
      <c r="T60" s="1165" t="n"/>
      <c r="U60" s="1165" t="n"/>
      <c r="V60" s="1165" t="n"/>
      <c r="W60" s="1165" t="n"/>
    </row>
    <row r="61" ht="34" customFormat="1" customHeight="1" s="1222">
      <c r="A61" s="1165" t="n"/>
      <c r="B61" s="1165" t="n"/>
      <c r="C61" s="1165" t="n"/>
      <c r="D61" s="1165" t="n"/>
      <c r="E61" s="1165" t="n"/>
      <c r="F61" s="1223" t="inlineStr">
        <is>
          <t>Total for the Period</t>
        </is>
      </c>
      <c r="G61" s="1223" t="n"/>
      <c r="H61" s="1224">
        <f>H59+H60</f>
        <v/>
      </c>
      <c r="I61" s="1224">
        <f>I59+I60</f>
        <v/>
      </c>
      <c r="J61" s="1225">
        <f>J59+J60</f>
        <v/>
      </c>
      <c r="K61" s="1225">
        <f>K59+K60</f>
        <v/>
      </c>
      <c r="L61" s="1224" t="n"/>
      <c r="M61" s="1165" t="n"/>
      <c r="N61" s="1226" t="inlineStr">
        <is>
          <t>Total for the Period</t>
        </is>
      </c>
      <c r="O61" s="1227">
        <f>-Q27</f>
        <v/>
      </c>
      <c r="P61" s="738">
        <f>Q35</f>
        <v/>
      </c>
      <c r="Q61" s="1227">
        <f>S33+S34</f>
        <v/>
      </c>
      <c r="R61" s="738">
        <f>R59+R60</f>
        <v/>
      </c>
      <c r="S61" s="595" t="n"/>
      <c r="T61" s="595" t="n"/>
      <c r="U61" s="1165" t="n"/>
      <c r="V61" s="1165" t="n"/>
      <c r="W61" s="1165" t="n"/>
    </row>
    <row r="62" ht="18" customFormat="1" customHeight="1" s="1222">
      <c r="A62" s="1165" t="n"/>
      <c r="B62" s="1165" t="n"/>
      <c r="C62" s="1165" t="n"/>
      <c r="D62" s="1165" t="n"/>
      <c r="E62" s="1165" t="n"/>
      <c r="F62" s="1165" t="n"/>
      <c r="G62" s="1165" t="n"/>
      <c r="H62" s="1165" t="n"/>
      <c r="I62" s="1165" t="n"/>
      <c r="J62" s="1165" t="n"/>
      <c r="K62" s="1165" t="n"/>
      <c r="L62" s="1228" t="n"/>
      <c r="M62" s="1228" t="n"/>
      <c r="N62" s="1165" t="n"/>
      <c r="O62" s="1165" t="n"/>
      <c r="P62" s="1229" t="n"/>
      <c r="Q62" s="1229" t="n"/>
      <c r="R62" s="595" t="n"/>
      <c r="S62" s="595" t="n"/>
      <c r="T62" s="595" t="n"/>
      <c r="U62" s="1165" t="n"/>
      <c r="V62" s="1165" t="n"/>
      <c r="W62" s="1165" t="n"/>
    </row>
    <row r="63" ht="51" customFormat="1" customHeight="1" s="1222">
      <c r="A63" s="1165" t="n"/>
      <c r="B63" s="1165" t="n"/>
      <c r="C63" s="1165" t="n"/>
      <c r="D63" s="1165" t="n"/>
      <c r="E63" s="1165" t="n"/>
      <c r="F63" s="1208" t="inlineStr">
        <is>
          <t>Required Funding by the Parties
(April–June 2026)</t>
        </is>
      </c>
      <c r="L63" s="1208" t="n"/>
      <c r="M63" s="1165" t="n"/>
      <c r="N63" s="1208" t="inlineStr">
        <is>
          <t>Parties Funding per OPEX/CAPEX</t>
        </is>
      </c>
      <c r="S63" s="595" t="n"/>
      <c r="T63" s="595" t="n"/>
      <c r="U63" s="1165" t="n"/>
      <c r="V63" s="1165" t="n"/>
      <c r="W63" s="1165" t="n"/>
    </row>
    <row r="64" ht="18" customFormat="1" customHeight="1" s="1222">
      <c r="A64" s="1165" t="n"/>
      <c r="B64" s="1165" t="n"/>
      <c r="C64" s="1165" t="n"/>
      <c r="D64" s="1165" t="n"/>
      <c r="E64" s="1165" t="n"/>
      <c r="F64" s="1230" t="inlineStr">
        <is>
          <t>Parties</t>
        </is>
      </c>
      <c r="G64" s="1230" t="n"/>
      <c r="H64" s="1230" t="inlineStr">
        <is>
          <t>by 31.03.2026</t>
        </is>
      </c>
      <c r="L64" s="1230" t="n"/>
      <c r="M64" s="1165" t="n"/>
      <c r="N64" s="1230" t="inlineStr">
        <is>
          <t>Asset Allocation</t>
        </is>
      </c>
      <c r="O64" s="1230" t="inlineStr">
        <is>
          <t>by 31.06.2025</t>
        </is>
      </c>
      <c r="P64" s="1230" t="inlineStr">
        <is>
          <t>from 31.09.2025 to 31.12.2025</t>
        </is>
      </c>
      <c r="Q64" s="1230" t="inlineStr">
        <is>
          <t>from 31.12.2025 to 31.03.2026</t>
        </is>
      </c>
      <c r="R64" s="1230" t="inlineStr">
        <is>
          <t>from 31.03.2026 to 31.06.2026</t>
        </is>
      </c>
      <c r="S64" s="1165" t="n"/>
      <c r="T64" s="1165" t="n"/>
      <c r="U64" s="1165" t="n"/>
      <c r="V64" s="1165" t="n"/>
      <c r="W64" s="1165" t="n"/>
    </row>
    <row r="65" ht="64" customFormat="1" customHeight="1" s="1222">
      <c r="A65" s="1165" t="n"/>
      <c r="B65" s="1165" t="n"/>
      <c r="C65" s="1165" t="n"/>
      <c r="D65" s="1165" t="n"/>
      <c r="E65" s="1165" t="n"/>
      <c r="F65" s="1231" t="n"/>
      <c r="G65" s="1231" t="n"/>
      <c r="H65" s="1232" t="inlineStr">
        <is>
          <t>Provided</t>
        </is>
      </c>
      <c r="I65" s="1232" t="inlineStr">
        <is>
          <t>Should Have Been Provided</t>
        </is>
      </c>
      <c r="J65" s="1232" t="inlineStr">
        <is>
          <t>Required Additional Funding</t>
        </is>
      </c>
      <c r="K65" s="1232" t="inlineStr">
        <is>
          <t>Loans to be Provided (incl. Imbalance Rectification)</t>
        </is>
      </c>
      <c r="L65" s="1232" t="n"/>
      <c r="M65" s="1165" t="n"/>
      <c r="N65" s="1165" t="inlineStr">
        <is>
          <t>CAPEX</t>
        </is>
      </c>
      <c r="O65" s="1228" t="n">
        <v>18531958.49056604</v>
      </c>
      <c r="P65" s="1165">
        <f>-P76</f>
        <v/>
      </c>
      <c r="Q65" s="596">
        <f>Q61*(S12+S13+S14)/S27</f>
        <v/>
      </c>
      <c r="R65" s="1165">
        <f>J69*(S12+S13+S14)/S27</f>
        <v/>
      </c>
      <c r="S65" s="1165" t="n"/>
      <c r="T65" s="1165" t="n"/>
      <c r="U65" s="1165" t="n"/>
      <c r="V65" s="1165" t="n"/>
      <c r="W65" s="1165" t="n"/>
    </row>
    <row r="66" ht="18" customFormat="1" customHeight="1" s="1222">
      <c r="A66" s="1165" t="n"/>
      <c r="B66" s="1165" t="n"/>
      <c r="C66" s="1165" t="n"/>
      <c r="D66" s="1165" t="n"/>
      <c r="E66" s="1165" t="n"/>
      <c r="F66" s="1217" t="n"/>
      <c r="G66" s="1217" t="n"/>
      <c r="H66" s="1218" t="n"/>
      <c r="I66" s="1218" t="n"/>
      <c r="J66" s="1218" t="n"/>
      <c r="K66" s="1218" t="n"/>
      <c r="L66" s="1218" t="n"/>
      <c r="M66" s="1165" t="n"/>
      <c r="N66" s="1165" t="inlineStr">
        <is>
          <t>OPEX</t>
        </is>
      </c>
      <c r="O66" s="1228" t="n">
        <v>10875041.50943396</v>
      </c>
      <c r="P66" s="1165">
        <f>-P89</f>
        <v/>
      </c>
      <c r="Q66" s="596">
        <f>Q61-Q65</f>
        <v/>
      </c>
      <c r="R66" s="1165">
        <f>J69-R65</f>
        <v/>
      </c>
      <c r="S66" s="1165" t="n"/>
      <c r="T66" s="1165" t="n"/>
      <c r="U66" s="1165" t="n"/>
      <c r="V66" s="1165" t="n"/>
      <c r="W66" s="1165" t="n"/>
    </row>
    <row r="67" ht="18" customFormat="1" customHeight="1" s="1222">
      <c r="A67" s="1165" t="n"/>
      <c r="B67" s="1165" t="n"/>
      <c r="C67" s="1165" t="n"/>
      <c r="D67" s="1165" t="n"/>
      <c r="E67" s="1165" t="n"/>
      <c r="F67" s="1217" t="inlineStr">
        <is>
          <t>Fund (52%)</t>
        </is>
      </c>
      <c r="G67" s="1217" t="n"/>
      <c r="H67" s="737">
        <f>P59+R59</f>
        <v/>
      </c>
      <c r="I67" s="1218">
        <f>$E$33*I69</f>
        <v/>
      </c>
      <c r="J67" s="1218">
        <f>$E$33*J69</f>
        <v/>
      </c>
      <c r="K67" s="1218">
        <f>U33</f>
        <v/>
      </c>
      <c r="L67" s="1218" t="n"/>
      <c r="M67" s="1165" t="n"/>
      <c r="N67" s="1165" t="n"/>
      <c r="O67" s="1165" t="n"/>
      <c r="P67" s="1165" t="n"/>
      <c r="Q67" s="1165" t="n"/>
      <c r="R67" s="1165" t="n"/>
      <c r="S67" s="1165" t="n"/>
      <c r="T67" s="1165" t="n"/>
      <c r="U67" s="1165" t="n"/>
      <c r="V67" s="1165" t="n"/>
      <c r="W67" s="1165" t="n"/>
    </row>
    <row r="68" ht="18" customFormat="1" customHeight="1" s="1222">
      <c r="A68" s="1165" t="n"/>
      <c r="B68" s="1165" t="n"/>
      <c r="C68" s="1165" t="n"/>
      <c r="D68" s="1165" t="n"/>
      <c r="E68" s="1165" t="n"/>
      <c r="F68" s="1217" t="inlineStr">
        <is>
          <t>Aelios (48%)</t>
        </is>
      </c>
      <c r="G68" s="1217" t="n"/>
      <c r="H68" s="743">
        <f>R60</f>
        <v/>
      </c>
      <c r="I68" s="1218">
        <f>$E$34*I69</f>
        <v/>
      </c>
      <c r="J68" s="1218">
        <f>$E$34*J69</f>
        <v/>
      </c>
      <c r="K68" s="743">
        <f>U34</f>
        <v/>
      </c>
      <c r="L68" s="1218" t="n"/>
      <c r="M68" s="1165" t="n"/>
      <c r="N68" s="1165" t="n"/>
      <c r="O68" s="1165" t="n"/>
      <c r="P68" s="1165" t="n"/>
      <c r="Q68" s="1165" t="n"/>
      <c r="R68" s="1165" t="n"/>
      <c r="S68" s="1165" t="n"/>
      <c r="T68" s="1165" t="n"/>
      <c r="U68" s="1165" t="n"/>
      <c r="V68" s="1165" t="n"/>
      <c r="W68" s="1165" t="n"/>
    </row>
    <row r="69" ht="28" customFormat="1" customHeight="1" s="1222">
      <c r="A69" s="1165" t="n"/>
      <c r="B69" s="1165" t="n"/>
      <c r="C69" s="1165" t="n"/>
      <c r="D69" s="1165" t="n"/>
      <c r="E69" s="1165" t="n"/>
      <c r="F69" s="1233" t="inlineStr">
        <is>
          <t>Total for the Period</t>
        </is>
      </c>
      <c r="G69" s="1233" t="n"/>
      <c r="H69" s="748">
        <f>H67+H68</f>
        <v/>
      </c>
      <c r="I69" s="748">
        <f>O61+Q61</f>
        <v/>
      </c>
      <c r="J69" s="1234">
        <f>U33+U34</f>
        <v/>
      </c>
      <c r="K69" s="1234">
        <f>K67+K68</f>
        <v/>
      </c>
      <c r="L69" s="1234" t="n"/>
      <c r="M69" s="1165" t="n"/>
      <c r="N69" s="1165" t="n"/>
      <c r="O69" s="1165" t="n"/>
      <c r="P69" s="1165" t="n"/>
      <c r="Q69" s="1165" t="n"/>
      <c r="R69" s="1165" t="n"/>
      <c r="S69" s="1165" t="n"/>
      <c r="T69" s="1165" t="n"/>
      <c r="U69" s="1165" t="n"/>
      <c r="V69" s="1165" t="n"/>
      <c r="W69" s="1165" t="n"/>
    </row>
    <row r="70" ht="18" customFormat="1" customHeight="1" s="1222">
      <c r="A70" s="1165" t="n"/>
      <c r="B70" s="1165" t="n"/>
      <c r="C70" s="1165" t="n"/>
      <c r="D70" s="1165" t="n"/>
      <c r="E70" s="1165" t="n"/>
      <c r="F70" s="1165" t="n"/>
      <c r="G70" s="1165" t="n"/>
      <c r="H70" s="1165" t="n"/>
      <c r="I70" s="1165" t="n"/>
      <c r="J70" s="1165" t="n"/>
      <c r="K70" s="1165" t="n"/>
      <c r="L70" s="1228" t="n"/>
      <c r="M70" s="1228" t="n"/>
      <c r="N70" s="1165" t="n"/>
      <c r="O70" s="1165" t="n"/>
      <c r="P70" s="1165" t="n"/>
      <c r="Q70" s="1165" t="n"/>
      <c r="R70" s="1165" t="n"/>
      <c r="S70" s="1165" t="n"/>
      <c r="T70" s="1165" t="n"/>
      <c r="U70" s="1165" t="n"/>
      <c r="V70" s="1165" t="n"/>
      <c r="W70" s="1165" t="n"/>
    </row>
    <row r="71" ht="26" customFormat="1" customHeight="1" s="1222">
      <c r="A71" s="1165" t="n"/>
      <c r="B71" s="1165" t="n"/>
      <c r="C71" s="1165" t="n"/>
      <c r="D71" s="1165" t="n"/>
      <c r="E71" s="1165" t="n"/>
      <c r="F71" s="757" t="inlineStr">
        <is>
          <t>SOURCES OF FUNDING — How the EUR 27,134,844 is Covered</t>
        </is>
      </c>
      <c r="L71" s="1235" t="n"/>
      <c r="M71" s="1165" t="n"/>
      <c r="N71" s="1236" t="inlineStr">
        <is>
          <t>CAPEX — Finishing Construction</t>
        </is>
      </c>
      <c r="S71" s="1165" t="n"/>
      <c r="T71" s="1165" t="n"/>
      <c r="U71" s="1165" t="n"/>
      <c r="V71" s="1165" t="n"/>
      <c r="W71" s="1165" t="n"/>
    </row>
    <row r="72" ht="18" customFormat="1" customHeight="1" s="1222" thickBot="1">
      <c r="A72" s="1165" t="n"/>
      <c r="B72" s="1165" t="n"/>
      <c r="C72" s="1165" t="n"/>
      <c r="D72" s="1165" t="n"/>
      <c r="E72" s="1165" t="n"/>
      <c r="F72" s="595" t="n"/>
      <c r="G72" s="595" t="n"/>
      <c r="H72" s="595" t="n"/>
      <c r="I72" s="595" t="n"/>
      <c r="J72" s="595" t="n"/>
      <c r="K72" s="595" t="n"/>
      <c r="L72" s="1165" t="n"/>
      <c r="M72" s="1165" t="n"/>
      <c r="N72" s="693" t="inlineStr">
        <is>
          <t>Capital Required</t>
        </is>
      </c>
      <c r="O72" s="693" t="inlineStr">
        <is>
          <t>Description</t>
        </is>
      </c>
      <c r="P72" s="694" t="inlineStr">
        <is>
          <t>Oct–Dec 2025</t>
        </is>
      </c>
      <c r="Q72" s="694" t="inlineStr">
        <is>
          <t>Jan–Jun 2026</t>
        </is>
      </c>
      <c r="R72" s="694" t="inlineStr">
        <is>
          <t>Total Oct–Jun</t>
        </is>
      </c>
      <c r="S72" s="1165" t="n"/>
      <c r="T72" s="1165" t="n"/>
      <c r="U72" s="1165" t="n"/>
      <c r="V72" s="1165" t="n"/>
      <c r="W72" s="1165" t="n"/>
    </row>
    <row r="73" ht="93" customFormat="1" customHeight="1" s="1222" thickBot="1">
      <c r="A73" s="1165" t="n"/>
      <c r="B73" s="1165" t="n"/>
      <c r="C73" s="1165" t="n"/>
      <c r="D73" s="1165" t="n"/>
      <c r="E73" s="1165" t="n"/>
      <c r="F73" s="695" t="inlineStr">
        <is>
          <t>Source</t>
        </is>
      </c>
      <c r="G73" s="695" t="n"/>
      <c r="H73" s="695" t="inlineStr">
        <is>
          <t>Oct–Dec 2025</t>
        </is>
      </c>
      <c r="I73" s="695" t="inlineStr">
        <is>
          <t>Jan–Mar 2026</t>
        </is>
      </c>
      <c r="J73" s="695" t="inlineStr">
        <is>
          <t>Apr–Jun 2026</t>
        </is>
      </c>
      <c r="K73" s="695" t="inlineStr">
        <is>
          <t>Total</t>
        </is>
      </c>
      <c r="L73" s="1183" t="n"/>
      <c r="M73" s="1165" t="n"/>
      <c r="N73" s="696" t="inlineStr">
        <is>
          <t>Hotel Construction</t>
        </is>
      </c>
      <c r="O73" s="697" t="inlineStr">
        <is>
          <t xml:space="preserve">    → Overran EUR 1.34M from 2-month delay (Sep→Nov opening). Ongoing works to completion.</t>
        </is>
      </c>
      <c r="P73" s="1237">
        <f>Q12</f>
        <v/>
      </c>
      <c r="Q73" s="699">
        <f>S12</f>
        <v/>
      </c>
      <c r="R73" s="1237">
        <f>P73+Q73</f>
        <v/>
      </c>
      <c r="S73" s="1165" t="n"/>
      <c r="T73" s="1165" t="n"/>
      <c r="U73" s="1165" t="n"/>
      <c r="V73" s="1165" t="n"/>
      <c r="W73" s="1165" t="n"/>
    </row>
    <row r="74" ht="103" customFormat="1" customHeight="1" s="1222">
      <c r="A74" s="1165" t="n"/>
      <c r="B74" s="1165" t="n"/>
      <c r="C74" s="1165" t="n"/>
      <c r="D74" s="1165" t="n"/>
      <c r="E74" s="1165" t="n"/>
      <c r="F74" s="700" t="inlineStr">
        <is>
          <t>Fund (52%)</t>
        </is>
      </c>
      <c r="G74" s="700" t="n"/>
      <c r="H74" s="701">
        <f>Q33</f>
        <v/>
      </c>
      <c r="I74" s="701">
        <f>S33</f>
        <v/>
      </c>
      <c r="J74" s="701">
        <f>U33</f>
        <v/>
      </c>
      <c r="K74" s="701">
        <f>H74+I74+J74</f>
        <v/>
      </c>
      <c r="L74" s="1238" t="n"/>
      <c r="M74" s="1165" t="n"/>
      <c r="N74" s="703" t="inlineStr">
        <is>
          <t>Hotel Defects</t>
        </is>
      </c>
      <c r="O74" s="704" t="inlineStr">
        <is>
          <t xml:space="preserve">    → Post-Hagenauer insolvency. Hotel defects repaired at own cost. Electrical audit EUR 250–300K before May 26 inspection.</t>
        </is>
      </c>
      <c r="P74" s="705">
        <f>Q13</f>
        <v/>
      </c>
      <c r="Q74" s="705">
        <f>S13</f>
        <v/>
      </c>
      <c r="R74" s="705">
        <f>P74+Q74</f>
        <v/>
      </c>
      <c r="S74" s="1165" t="n"/>
      <c r="T74" s="1165" t="n"/>
      <c r="U74" s="1165" t="n"/>
      <c r="V74" s="1165" t="n"/>
      <c r="W74" s="1165" t="n"/>
    </row>
    <row r="75" ht="94" customFormat="1" customHeight="1" s="1222" thickBot="1">
      <c r="A75" s="1165" t="n"/>
      <c r="B75" s="1165" t="n"/>
      <c r="C75" s="1165" t="n"/>
      <c r="D75" s="1165" t="n"/>
      <c r="E75" s="1165" t="n"/>
      <c r="F75" s="1239" t="inlineStr">
        <is>
          <t>Aelios (48%)</t>
        </is>
      </c>
      <c r="G75" s="1239" t="n"/>
      <c r="H75" s="707">
        <f>Q34</f>
        <v/>
      </c>
      <c r="I75" s="707">
        <f>S34</f>
        <v/>
      </c>
      <c r="J75" s="707">
        <f>U34</f>
        <v/>
      </c>
      <c r="K75" s="707">
        <f>H75+I75+J75</f>
        <v/>
      </c>
      <c r="L75" s="1240" t="n"/>
      <c r="M75" s="1165" t="n"/>
      <c r="N75" s="703" t="inlineStr">
        <is>
          <t>Finish Apartments</t>
        </is>
      </c>
      <c r="O75" s="704" t="inlineStr">
        <is>
          <t xml:space="preserve">    → Windows, KNX, electrical defects. New contractors at full price — Hagenauer subcontractors refuse to return.</t>
        </is>
      </c>
      <c r="P75" s="705">
        <f>Q14</f>
        <v/>
      </c>
      <c r="Q75" s="709">
        <f>S14</f>
        <v/>
      </c>
      <c r="R75" s="709">
        <f>P75+Q75</f>
        <v/>
      </c>
      <c r="S75" s="1165" t="n"/>
      <c r="T75" s="1165" t="n"/>
      <c r="U75" s="1165" t="n"/>
      <c r="V75" s="1165" t="n"/>
      <c r="W75" s="1165" t="n"/>
    </row>
    <row r="76" ht="18" customFormat="1" customHeight="1" s="1222" thickBot="1">
      <c r="A76" s="1165" t="n"/>
      <c r="B76" s="1165" t="n"/>
      <c r="C76" s="1165" t="n"/>
      <c r="D76" s="1165" t="n"/>
      <c r="E76" s="1165" t="n"/>
      <c r="F76" s="710" t="n"/>
      <c r="G76" s="710" t="n"/>
      <c r="H76" s="1229" t="n"/>
      <c r="I76" s="1229" t="n"/>
      <c r="J76" s="1229" t="n"/>
      <c r="K76" s="711" t="n"/>
      <c r="L76" s="1165" t="n"/>
      <c r="M76" s="1165" t="n"/>
      <c r="N76" s="712" t="inlineStr">
        <is>
          <t>CAPEX Subtotal</t>
        </is>
      </c>
      <c r="O76" s="1241" t="n"/>
      <c r="P76" s="714">
        <f>SUM(P73:P75)</f>
        <v/>
      </c>
      <c r="Q76" s="714">
        <f>SUM(Q73:Q75)</f>
        <v/>
      </c>
      <c r="R76" s="715">
        <f>SUM(R73:R75)</f>
        <v/>
      </c>
      <c r="S76" s="1165" t="n"/>
      <c r="T76" s="1165" t="n"/>
      <c r="U76" s="1165" t="n"/>
      <c r="V76" s="1165" t="n"/>
      <c r="W76" s="1165" t="n"/>
    </row>
    <row r="77" ht="29" customFormat="1" customHeight="1" s="1222" thickTop="1">
      <c r="A77" s="1165" t="n"/>
      <c r="B77" s="1165" t="n"/>
      <c r="C77" s="1165" t="n"/>
      <c r="D77" s="1165" t="n"/>
      <c r="E77" s="1165" t="n"/>
      <c r="F77" s="716" t="inlineStr">
        <is>
          <t>Parties Total</t>
        </is>
      </c>
      <c r="G77" s="716" t="n"/>
      <c r="H77" s="717">
        <f>H74+H75</f>
        <v/>
      </c>
      <c r="I77" s="717">
        <f>I74+I75</f>
        <v/>
      </c>
      <c r="J77" s="717">
        <f>J74+J75</f>
        <v/>
      </c>
      <c r="K77" s="717">
        <f>K74+K75</f>
        <v/>
      </c>
      <c r="L77" s="1242" t="n"/>
      <c r="M77" s="1165" t="n"/>
      <c r="N77" s="1165" t="n"/>
      <c r="O77" s="1165" t="n"/>
      <c r="P77" s="1165" t="n"/>
      <c r="Q77" s="1165" t="n"/>
      <c r="R77" s="1165" t="n"/>
      <c r="S77" s="1165" t="n"/>
      <c r="T77" s="1165" t="n"/>
      <c r="U77" s="1165" t="n"/>
      <c r="V77" s="1165" t="n"/>
      <c r="W77" s="1165" t="n"/>
    </row>
    <row r="78" customFormat="1" s="1212">
      <c r="A78" s="1165" t="n"/>
      <c r="B78" s="1165" t="n"/>
      <c r="C78" s="1165" t="n"/>
      <c r="D78" s="1165" t="n"/>
      <c r="E78" s="1165" t="n"/>
      <c r="F78" s="710" t="n"/>
      <c r="G78" s="710" t="n"/>
      <c r="H78" s="710" t="n"/>
      <c r="I78" s="710" t="n"/>
      <c r="J78" s="710" t="n"/>
      <c r="K78" s="719" t="n"/>
      <c r="L78" s="1165" t="n"/>
      <c r="M78" s="1165" t="n"/>
      <c r="N78" s="1236" t="inlineStr">
        <is>
          <t>OPEX — Hotel Business</t>
        </is>
      </c>
      <c r="S78" s="1165" t="n"/>
      <c r="T78" s="1165" t="n"/>
      <c r="U78" s="1165" t="n"/>
      <c r="V78" s="1165" t="n"/>
      <c r="W78" s="1165" t="n"/>
    </row>
    <row r="79" ht="45" customFormat="1" customHeight="1" s="1212" thickBot="1">
      <c r="A79" s="1165" t="n"/>
      <c r="B79" s="1165" t="n"/>
      <c r="C79" s="1165" t="n"/>
      <c r="D79" s="1165" t="n"/>
      <c r="E79" s="1165" t="n"/>
      <c r="F79" s="704" t="inlineStr">
        <is>
          <t>Apartment Sales Proceeds</t>
        </is>
      </c>
      <c r="G79" s="704" t="n"/>
      <c r="H79" s="704" t="n">
        <v>0</v>
      </c>
      <c r="I79" s="709">
        <f>S31</f>
        <v/>
      </c>
      <c r="J79" s="709">
        <f>U31</f>
        <v/>
      </c>
      <c r="K79" s="709">
        <f>H79+I79+J79</f>
        <v/>
      </c>
      <c r="L79" s="1221" t="n"/>
      <c r="M79" s="1165" t="n"/>
      <c r="N79" s="693" t="inlineStr">
        <is>
          <t>Capital Required</t>
        </is>
      </c>
      <c r="O79" s="720" t="inlineStr">
        <is>
          <t>Description</t>
        </is>
      </c>
      <c r="P79" s="720" t="inlineStr">
        <is>
          <t>Oct–Dec 2025</t>
        </is>
      </c>
      <c r="Q79" s="720" t="inlineStr">
        <is>
          <t>Jan–Jun 2026</t>
        </is>
      </c>
      <c r="R79" s="720" t="inlineStr">
        <is>
          <t>Total Oct–Jun</t>
        </is>
      </c>
      <c r="S79" s="1165" t="n"/>
      <c r="T79" s="1165" t="n"/>
      <c r="U79" s="1165" t="n"/>
      <c r="V79" s="1165" t="n"/>
      <c r="W79" s="1165" t="n"/>
    </row>
    <row r="80" ht="64" customFormat="1" customHeight="1" s="1212" thickBot="1">
      <c r="A80" s="1165" t="n"/>
      <c r="B80" s="1165" t="n"/>
      <c r="C80" s="1165" t="n"/>
      <c r="D80" s="1165" t="n"/>
      <c r="E80" s="1165" t="n"/>
      <c r="F80" s="1243" t="inlineStr">
        <is>
          <t>Total</t>
        </is>
      </c>
      <c r="G80" s="1243" t="n"/>
      <c r="H80" s="1243">
        <f>H77+H79</f>
        <v/>
      </c>
      <c r="I80" s="1243">
        <f>I77+I79</f>
        <v/>
      </c>
      <c r="J80" s="1243">
        <f>J77+J79</f>
        <v/>
      </c>
      <c r="K80" s="1243">
        <f>K77+K79</f>
        <v/>
      </c>
      <c r="L80" s="1244" t="n"/>
      <c r="M80" s="1165" t="n"/>
      <c r="N80" s="721" t="inlineStr">
        <is>
          <t>Hotel Staff</t>
        </is>
      </c>
      <c r="O80" s="1245" t="inlineStr">
        <is>
          <t>Staff hired for Sep opening. Continued drawing salaries through Nov. EUR 850K/month × 2 delay months.</t>
        </is>
      </c>
      <c r="P80" s="1237">
        <f>Q19</f>
        <v/>
      </c>
      <c r="Q80" s="1237">
        <f>S19</f>
        <v/>
      </c>
      <c r="R80" s="1237">
        <f>P80+Q80</f>
        <v/>
      </c>
      <c r="S80" s="1165" t="n"/>
      <c r="T80" s="1165" t="n"/>
      <c r="U80" s="1165" t="n"/>
      <c r="V80" s="1165" t="n"/>
      <c r="W80" s="1165" t="n"/>
    </row>
    <row r="81" ht="79" customFormat="1" customHeight="1" s="1212" thickTop="1">
      <c r="A81" s="1165" t="n"/>
      <c r="B81" s="1165" t="n"/>
      <c r="C81" s="1165" t="n"/>
      <c r="D81" s="1165" t="n"/>
      <c r="E81" s="1165" t="n"/>
      <c r="F81" s="1165" t="n"/>
      <c r="G81" s="1165" t="n"/>
      <c r="H81" s="1165" t="n"/>
      <c r="I81" s="1165" t="n"/>
      <c r="J81" s="1165" t="n"/>
      <c r="K81" s="1165" t="n"/>
      <c r="L81" s="1165" t="n"/>
      <c r="M81" s="1165" t="n"/>
      <c r="N81" s="723" t="inlineStr">
        <is>
          <t>MO Marketing</t>
        </is>
      </c>
      <c r="O81" s="1221" t="inlineStr">
        <is>
          <t>Marketing paused during delay — resumed Q1 2026.</t>
        </is>
      </c>
      <c r="P81" s="1246">
        <f>Q20</f>
        <v/>
      </c>
      <c r="Q81" s="1246">
        <f>S20</f>
        <v/>
      </c>
      <c r="R81" s="1246">
        <f>P81+Q81</f>
        <v/>
      </c>
      <c r="S81" s="1165" t="n"/>
      <c r="T81" s="1165" t="n"/>
      <c r="U81" s="1165" t="n"/>
      <c r="V81" s="1165" t="n"/>
      <c r="W81" s="1165" t="n"/>
    </row>
    <row r="82" ht="83" customFormat="1" customHeight="1" s="1212">
      <c r="A82" s="1165" t="n"/>
      <c r="B82" s="1165" t="n"/>
      <c r="C82" s="1165" t="n"/>
      <c r="D82" s="1165" t="n"/>
      <c r="E82" s="1165" t="n"/>
      <c r="F82" s="1247" t="inlineStr">
        <is>
          <t>Expected Capital Tranches (Oct 2025 – Jun 2026)</t>
        </is>
      </c>
      <c r="G82" s="1247" t="n"/>
      <c r="H82" s="1247" t="n"/>
      <c r="I82" s="1247" t="n"/>
      <c r="J82" s="1247" t="n"/>
      <c r="K82" s="1247" t="n"/>
      <c r="L82" s="1248" t="inlineStr">
        <is>
          <t>% of Parties
Capital</t>
        </is>
      </c>
      <c r="M82" s="726" t="n"/>
      <c r="N82" s="723" t="inlineStr">
        <is>
          <t>Warranties</t>
        </is>
      </c>
      <c r="O82" s="1221" t="inlineStr">
        <is>
          <t>Settlement, 3-year guarantees, legal costs. May not be required in full.</t>
        </is>
      </c>
      <c r="P82" s="1246">
        <f>Q17</f>
        <v/>
      </c>
      <c r="Q82" s="1246">
        <f>S17</f>
        <v/>
      </c>
      <c r="R82" s="1246">
        <f>P82+Q82</f>
        <v/>
      </c>
      <c r="S82" s="1165" t="n"/>
      <c r="T82" s="1165" t="n"/>
      <c r="U82" s="1165" t="n"/>
      <c r="V82" s="1165" t="n"/>
      <c r="W82" s="1165" t="n"/>
    </row>
    <row r="83" ht="56" customFormat="1" customHeight="1" s="1212">
      <c r="A83" s="1165" t="n"/>
      <c r="B83" s="1165" t="n"/>
      <c r="C83" s="1165" t="n"/>
      <c r="D83" s="1165" t="n"/>
      <c r="E83" s="1165" t="n"/>
      <c r="F83" s="1249" t="inlineStr">
        <is>
          <t>Month</t>
        </is>
      </c>
      <c r="G83" s="1249" t="inlineStr">
        <is>
          <t>Oct 2025 – Mar 2026</t>
        </is>
      </c>
      <c r="H83" s="735" t="inlineStr">
        <is>
          <t>April 2026</t>
        </is>
      </c>
      <c r="I83" s="735" t="inlineStr">
        <is>
          <t>May 2026</t>
        </is>
      </c>
      <c r="J83" s="735" t="inlineStr">
        <is>
          <t>June 2026</t>
        </is>
      </c>
      <c r="K83" s="1249" t="inlineStr">
        <is>
          <t>Total
Oct 2025 – Jun 2026</t>
        </is>
      </c>
      <c r="L83" s="1249" t="n"/>
      <c r="M83" s="726" t="n"/>
      <c r="N83" s="723" t="inlineStr">
        <is>
          <t>Working Capital Hotel (NEW)</t>
        </is>
      </c>
      <c r="O83" s="1221" t="inlineStr">
        <is>
          <t>MO contractual right to EUR 1.5M reserve. Daily operations (food, supplies, salaries).</t>
        </is>
      </c>
      <c r="P83" s="1246">
        <f>Q22</f>
        <v/>
      </c>
      <c r="Q83" s="1246">
        <f>S22</f>
        <v/>
      </c>
      <c r="R83" s="1246">
        <f>P83+Q83</f>
        <v/>
      </c>
      <c r="S83" s="1165" t="n"/>
      <c r="T83" s="1165" t="n"/>
      <c r="U83" s="1165" t="n"/>
      <c r="V83" s="1165" t="n"/>
      <c r="W83" s="1165" t="n"/>
    </row>
    <row r="84" ht="34" customFormat="1" customHeight="1" s="1250">
      <c r="A84" s="1165" t="n"/>
      <c r="B84" s="1165" t="n"/>
      <c r="C84" s="1165" t="n"/>
      <c r="D84" s="1165" t="n"/>
      <c r="E84" s="1165" t="n"/>
      <c r="F84" s="1251" t="inlineStr">
        <is>
          <t>Fund (52%)</t>
        </is>
      </c>
      <c r="G84" s="1252">
        <f>H74+I74</f>
        <v/>
      </c>
      <c r="H84" s="737">
        <f>ROUND(J74/3,2)</f>
        <v/>
      </c>
      <c r="I84" s="737">
        <f>H84</f>
        <v/>
      </c>
      <c r="J84" s="737">
        <f>J74-H84-I84</f>
        <v/>
      </c>
      <c r="K84" s="738">
        <f>K74</f>
        <v/>
      </c>
      <c r="L84" s="1253">
        <f>K74/(K74+K75)</f>
        <v/>
      </c>
      <c r="M84" s="726" t="n"/>
      <c r="N84" s="723" t="n"/>
      <c r="O84" s="1221" t="n"/>
      <c r="P84" s="1246" t="n"/>
      <c r="Q84" s="1246" t="n"/>
      <c r="R84" s="1246" t="n"/>
      <c r="S84" s="1165" t="n"/>
      <c r="T84" s="1165" t="n"/>
      <c r="U84" s="1165" t="n"/>
      <c r="V84" s="1165" t="n"/>
      <c r="W84" s="1165" t="n"/>
    </row>
    <row r="85" ht="80" customFormat="1" customHeight="1" s="1212">
      <c r="A85" s="595" t="n"/>
      <c r="B85" s="595" t="n"/>
      <c r="C85" s="595" t="n"/>
      <c r="D85" s="595" t="n"/>
      <c r="E85" s="595" t="n"/>
      <c r="F85" s="1251" t="inlineStr">
        <is>
          <t>Aelios (48%)</t>
        </is>
      </c>
      <c r="G85" s="1252">
        <f>H75+I75</f>
        <v/>
      </c>
      <c r="H85" s="737" t="n">
        <v>2500000</v>
      </c>
      <c r="I85" s="740" t="n">
        <v>2500000</v>
      </c>
      <c r="J85" s="737">
        <f>J75-H85-I85</f>
        <v/>
      </c>
      <c r="K85" s="738">
        <f>K75</f>
        <v/>
      </c>
      <c r="L85" s="1253">
        <f>K75/(K74+K75)</f>
        <v/>
      </c>
      <c r="M85" s="726" t="n"/>
      <c r="N85" s="723" t="inlineStr">
        <is>
          <t>OS&amp;E, IT, Art</t>
        </is>
      </c>
      <c r="O85" s="1221" t="inlineStr">
        <is>
          <t>Over-budget IT systems (EUR 319K — PMS, WiFi, smart room). Art EUR 105K.</t>
        </is>
      </c>
      <c r="P85" s="1246">
        <f>Q23</f>
        <v/>
      </c>
      <c r="Q85" s="1246">
        <f>S23</f>
        <v/>
      </c>
      <c r="R85" s="1246">
        <f>P85+Q85</f>
        <v/>
      </c>
      <c r="S85" s="1165" t="n"/>
      <c r="T85" s="1165" t="n"/>
      <c r="U85" s="1165" t="n"/>
      <c r="V85" s="1165" t="n"/>
      <c r="W85" s="1165" t="n"/>
    </row>
    <row r="86" ht="76" customFormat="1" customHeight="1" s="1212">
      <c r="A86" s="595" t="n"/>
      <c r="B86" s="595" t="n"/>
      <c r="C86" s="595" t="n"/>
      <c r="D86" s="595" t="n"/>
      <c r="E86" s="595" t="n"/>
      <c r="F86" s="1165" t="n"/>
      <c r="G86" s="1165" t="n"/>
      <c r="H86" s="1165" t="n"/>
      <c r="I86" s="1165" t="n"/>
      <c r="J86" s="1165" t="n"/>
      <c r="K86" s="1165" t="n"/>
      <c r="L86" s="1165" t="n"/>
      <c r="M86" s="1165" t="n"/>
      <c r="N86" s="723" t="inlineStr">
        <is>
          <t>Sales Fees &amp; Property Management</t>
        </is>
      </c>
      <c r="O86" s="1221" t="inlineStr">
        <is>
          <t>Apartment sales commissions (1.5–2%) + property management. Sales started after construction.</t>
        </is>
      </c>
      <c r="P86" s="1254">
        <f>Q24</f>
        <v/>
      </c>
      <c r="Q86" s="1254">
        <f>S24</f>
        <v/>
      </c>
      <c r="R86" s="1254">
        <f>P86+Q86</f>
        <v/>
      </c>
      <c r="S86" s="1165" t="n"/>
      <c r="T86" s="1165" t="n"/>
      <c r="U86" s="1165" t="n"/>
      <c r="V86" s="1165" t="n"/>
      <c r="W86" s="1165" t="n"/>
    </row>
    <row r="87" ht="77" customFormat="1" customHeight="1" s="1212">
      <c r="A87" s="595" t="n"/>
      <c r="B87" s="595" t="n"/>
      <c r="C87" s="595" t="n"/>
      <c r="D87" s="595" t="n"/>
      <c r="E87" s="595" t="n"/>
      <c r="F87" s="1255" t="n"/>
      <c r="G87" s="595" t="n"/>
      <c r="H87" s="595" t="n"/>
      <c r="I87" s="595" t="n"/>
      <c r="J87" s="595" t="n"/>
      <c r="K87" s="1165" t="n"/>
      <c r="L87" s="1165" t="n"/>
      <c r="M87" s="1165" t="n"/>
      <c r="N87" s="723" t="inlineStr">
        <is>
          <t>Bank Interest (Aukera)</t>
        </is>
      </c>
      <c r="O87" s="1221" t="inlineStr">
        <is>
          <t>Senior facility 5.4% p.a. EUR 350–500K/month. Higher due to extended drawdown from delay.</t>
        </is>
      </c>
      <c r="P87" s="1254">
        <f>Q25</f>
        <v/>
      </c>
      <c r="Q87" s="1254">
        <f>S25</f>
        <v/>
      </c>
      <c r="R87" s="1254">
        <f>P87+Q87</f>
        <v/>
      </c>
      <c r="S87" s="1165" t="n"/>
      <c r="T87" s="1165" t="n"/>
      <c r="U87" s="1165" t="n"/>
      <c r="V87" s="1165" t="n"/>
      <c r="W87" s="1165" t="n"/>
    </row>
    <row r="88" ht="113" customFormat="1" customHeight="1" s="1212" thickBot="1">
      <c r="A88" s="595" t="n"/>
      <c r="B88" s="595" t="n"/>
      <c r="C88" s="595" t="n"/>
      <c r="D88" s="595" t="n"/>
      <c r="E88" s="595" t="n"/>
      <c r="F88" s="595" t="n"/>
      <c r="G88" s="595" t="n"/>
      <c r="H88" s="595" t="n"/>
      <c r="I88" s="595" t="n"/>
      <c r="J88" s="595" t="n"/>
      <c r="K88" s="1148" t="n"/>
      <c r="L88" s="1165" t="n"/>
      <c r="M88" s="1165" t="n"/>
      <c r="N88" s="723" t="inlineStr">
        <is>
          <t>VAT &amp; Taxes (NEW LAW)</t>
        </is>
      </c>
      <c r="O88" s="1221" t="inlineStr">
        <is>
          <t>Nov 2025 Betrugsbekämpfungsgesetz. Luxury apartments &gt;EUR 2.5M lose VAT exemption. EUR 5.77M hit.</t>
        </is>
      </c>
      <c r="P88" s="1254">
        <f>Q26</f>
        <v/>
      </c>
      <c r="Q88" s="1254">
        <f>S26</f>
        <v/>
      </c>
      <c r="R88" s="1254">
        <f>P88+Q88</f>
        <v/>
      </c>
      <c r="S88" s="1165" t="n"/>
      <c r="T88" s="1165" t="n"/>
      <c r="U88" s="1165" t="n"/>
      <c r="V88" s="1165" t="n"/>
      <c r="W88" s="1165" t="n"/>
    </row>
    <row r="89" ht="38" customHeight="1" s="799" thickBot="1">
      <c r="A89" s="595" t="n"/>
      <c r="B89" s="595" t="n"/>
      <c r="C89" s="595" t="n"/>
      <c r="D89" s="595" t="n"/>
      <c r="E89" s="595" t="n"/>
      <c r="F89" s="595" t="n"/>
      <c r="G89" s="595" t="n"/>
      <c r="H89" s="595" t="n"/>
      <c r="I89" s="595" t="n"/>
      <c r="J89" s="595" t="n"/>
      <c r="K89" s="1148" t="n"/>
      <c r="L89" s="1148" t="n"/>
      <c r="M89" s="1148" t="n"/>
      <c r="N89" s="712" t="inlineStr">
        <is>
          <t>OPEX SUBTOTAL</t>
        </is>
      </c>
      <c r="O89" s="1241" t="n"/>
      <c r="P89" s="714">
        <f>SUM(P80:P88)</f>
        <v/>
      </c>
      <c r="Q89" s="714">
        <f>SUM(Q80:Q88)</f>
        <v/>
      </c>
      <c r="R89" s="715">
        <f>SUM(R80:R88)</f>
        <v/>
      </c>
      <c r="S89" s="1148" t="n"/>
      <c r="T89" s="1148" t="n"/>
      <c r="U89" s="1148" t="n"/>
      <c r="V89" s="1148" t="n"/>
      <c r="W89" s="1148" t="n"/>
    </row>
    <row r="90" ht="24" customFormat="1" customHeight="1" s="1147" thickTop="1">
      <c r="A90" s="595" t="n"/>
      <c r="B90" s="595" t="n"/>
      <c r="C90" s="595" t="n"/>
      <c r="D90" s="595" t="n"/>
      <c r="E90" s="595" t="n"/>
      <c r="F90" s="595" t="n"/>
      <c r="G90" s="595" t="n"/>
      <c r="H90" s="595" t="n"/>
      <c r="I90" s="595" t="n"/>
      <c r="J90" s="595" t="n"/>
      <c r="K90" s="1148" t="n"/>
      <c r="L90" s="1148" t="n"/>
      <c r="M90" s="1148" t="n"/>
      <c r="N90" s="730" t="n"/>
      <c r="O90" s="1165" t="n"/>
      <c r="P90" s="731" t="n"/>
      <c r="Q90" s="731" t="n"/>
      <c r="R90" s="732" t="n"/>
      <c r="S90" s="1148" t="n"/>
      <c r="T90" s="1148" t="n"/>
      <c r="U90" s="1148" t="n"/>
      <c r="V90" s="1148" t="n"/>
      <c r="W90" s="1148" t="n"/>
    </row>
    <row r="91" ht="17" customFormat="1" customHeight="1" s="1147">
      <c r="A91" s="595" t="n"/>
      <c r="B91" s="595" t="n"/>
      <c r="C91" s="595" t="n"/>
      <c r="D91" s="595" t="n"/>
      <c r="E91" s="595" t="n"/>
      <c r="F91" s="1148" t="n"/>
      <c r="G91" s="1148" t="n"/>
      <c r="H91" s="1148" t="n"/>
      <c r="I91" s="1148" t="n"/>
      <c r="J91" s="1148" t="n"/>
      <c r="K91" s="1148" t="n"/>
      <c r="L91" s="1148" t="n"/>
      <c r="M91" s="1148" t="n"/>
      <c r="N91" s="760" t="inlineStr">
        <is>
          <t>TOTAL CAPITAL REQUIRED (Oct 2025 – Jun 2026)</t>
        </is>
      </c>
      <c r="P91" s="625">
        <f>P76+P89</f>
        <v/>
      </c>
      <c r="Q91" s="625">
        <f>Q76+Q89</f>
        <v/>
      </c>
      <c r="R91" s="625">
        <f>T27</f>
        <v/>
      </c>
      <c r="S91" s="1148" t="n"/>
      <c r="T91" s="1148" t="n"/>
      <c r="U91" s="1148" t="n"/>
      <c r="V91" s="1148" t="n"/>
      <c r="W91" s="1148" t="n"/>
    </row>
    <row r="92">
      <c r="A92" s="1148" t="n"/>
      <c r="B92" s="1148" t="n"/>
      <c r="C92" s="1148" t="n"/>
      <c r="D92" s="1148" t="n"/>
      <c r="E92" s="1148" t="n"/>
      <c r="F92" s="595" t="n"/>
      <c r="G92" s="595" t="n"/>
      <c r="H92" s="595" t="n"/>
      <c r="I92" s="595" t="n"/>
      <c r="J92" s="595" t="n"/>
      <c r="K92" s="1148" t="n"/>
      <c r="L92" s="1148" t="n"/>
      <c r="M92" s="1148" t="n"/>
      <c r="N92" s="1148" t="n"/>
      <c r="O92" s="734" t="n"/>
      <c r="P92" s="734" t="n"/>
      <c r="Q92" s="734" t="n"/>
      <c r="R92" s="1148" t="n"/>
      <c r="S92" s="1148" t="n"/>
      <c r="T92" s="1148" t="n"/>
      <c r="U92" s="1148" t="n"/>
      <c r="V92" s="1148" t="n"/>
      <c r="W92" s="1148" t="n"/>
    </row>
    <row r="93" ht="17" customHeight="1" s="799">
      <c r="A93" s="595" t="n"/>
      <c r="B93" s="595" t="n"/>
      <c r="C93" s="595" t="n"/>
      <c r="D93" s="595" t="n"/>
      <c r="E93" s="595" t="n"/>
      <c r="F93" s="595" t="n"/>
      <c r="G93" s="595" t="n"/>
      <c r="H93" s="595" t="n"/>
      <c r="I93" s="595" t="n"/>
      <c r="J93" s="595" t="n"/>
      <c r="K93" s="595" t="n"/>
      <c r="L93" s="1148" t="n"/>
      <c r="M93" s="1148" t="n"/>
      <c r="N93" s="1148" t="n"/>
      <c r="O93" s="1148" t="n"/>
      <c r="P93" s="1148" t="n"/>
      <c r="Q93" s="1148" t="n"/>
      <c r="R93" s="1148" t="n"/>
      <c r="S93" s="1148" t="n"/>
      <c r="T93" s="1148" t="n"/>
      <c r="U93" s="1148" t="n"/>
      <c r="V93" s="1148" t="n"/>
      <c r="W93" s="1148" t="n"/>
    </row>
    <row r="94" ht="17" customHeight="1" s="799">
      <c r="A94" s="595" t="n"/>
      <c r="B94" s="595" t="n"/>
      <c r="C94" s="595" t="n"/>
      <c r="D94" s="595" t="n"/>
      <c r="E94" s="595" t="n"/>
      <c r="F94" s="595" t="n"/>
      <c r="G94" s="595" t="n"/>
      <c r="H94" s="595" t="n"/>
      <c r="I94" s="595" t="n"/>
      <c r="J94" s="595" t="n"/>
      <c r="K94" s="595" t="n"/>
      <c r="L94" s="1148" t="n"/>
      <c r="M94" s="1148" t="n"/>
      <c r="N94" s="1148" t="n"/>
      <c r="O94" s="1148" t="n"/>
      <c r="P94" s="1148" t="n"/>
      <c r="Q94" s="1148" t="n"/>
      <c r="R94" s="1148" t="n"/>
      <c r="S94" s="1148" t="n"/>
      <c r="T94" s="1148" t="n"/>
      <c r="U94" s="1148" t="n"/>
      <c r="V94" s="1148" t="n"/>
      <c r="W94" s="1148" t="n"/>
    </row>
    <row r="95" ht="48" customHeight="1" s="799">
      <c r="A95" s="595" t="n"/>
      <c r="B95" s="595" t="n"/>
      <c r="C95" s="595" t="n"/>
      <c r="D95" s="595" t="n"/>
      <c r="E95" s="595" t="n"/>
      <c r="F95" s="595" t="n"/>
      <c r="G95" s="595" t="n"/>
      <c r="H95" s="595" t="n"/>
      <c r="I95" s="595" t="n"/>
      <c r="J95" s="595" t="n"/>
      <c r="K95" s="595" t="n"/>
      <c r="L95" s="1148" t="n"/>
      <c r="M95" s="1148" t="n"/>
      <c r="N95" s="1148" t="n"/>
      <c r="O95" s="1148" t="n"/>
      <c r="P95" s="1148" t="n"/>
      <c r="Q95" s="1148" t="n"/>
      <c r="R95" s="1148" t="n"/>
      <c r="S95" s="1148" t="n"/>
      <c r="T95" s="1148" t="n"/>
      <c r="U95" s="1148" t="n"/>
      <c r="V95" s="1148" t="n"/>
      <c r="W95" s="1148" t="n"/>
    </row>
    <row r="96" ht="16" customHeight="1" s="799">
      <c r="A96" s="595" t="n"/>
      <c r="B96" s="595" t="n"/>
      <c r="C96" s="595" t="n"/>
      <c r="D96" s="595" t="n"/>
      <c r="E96" s="595" t="n"/>
      <c r="F96" s="595" t="n"/>
      <c r="G96" s="595" t="n"/>
      <c r="H96" s="595" t="n"/>
      <c r="I96" s="595" t="n"/>
      <c r="J96" s="595" t="n"/>
      <c r="K96" s="595" t="n"/>
      <c r="L96" s="1148" t="n"/>
      <c r="M96" s="1148" t="n"/>
      <c r="N96" s="1148" t="n"/>
      <c r="O96" s="1148" t="n"/>
      <c r="P96" s="1148" t="n"/>
      <c r="Q96" s="1148" t="n"/>
      <c r="R96" s="1148" t="n"/>
      <c r="S96" s="1148" t="n"/>
      <c r="T96" s="1148" t="n"/>
      <c r="U96" s="1148" t="n"/>
      <c r="V96" s="1148" t="n"/>
      <c r="W96" s="1148" t="n"/>
    </row>
    <row r="97" ht="17" customHeight="1" s="799">
      <c r="A97" s="595" t="n"/>
      <c r="B97" s="595" t="n"/>
      <c r="C97" s="595" t="n"/>
      <c r="D97" s="595" t="n"/>
      <c r="E97" s="595" t="n"/>
      <c r="F97" s="595" t="n"/>
      <c r="G97" s="595" t="n"/>
      <c r="H97" s="595" t="n"/>
      <c r="I97" s="595" t="n"/>
      <c r="J97" s="595" t="n"/>
      <c r="K97" s="595" t="n"/>
      <c r="L97" s="1148" t="n"/>
      <c r="M97" s="1148" t="n"/>
      <c r="N97" s="1148" t="n"/>
      <c r="O97" s="1148" t="n"/>
      <c r="P97" s="1148" t="n"/>
      <c r="Q97" s="1148" t="n"/>
      <c r="R97" s="1148" t="n"/>
      <c r="S97" s="1148" t="n"/>
      <c r="T97" s="1148" t="n"/>
      <c r="U97" s="1148" t="n"/>
      <c r="V97" s="1148" t="n"/>
      <c r="W97" s="1148" t="n"/>
    </row>
    <row r="98" ht="31" customHeight="1" s="799">
      <c r="A98" s="595" t="n"/>
      <c r="B98" s="595" t="n"/>
      <c r="C98" s="595" t="n"/>
      <c r="D98" s="595" t="n"/>
      <c r="E98" s="595" t="n"/>
      <c r="F98" s="595" t="n"/>
      <c r="G98" s="595" t="n"/>
      <c r="H98" s="595" t="n"/>
      <c r="I98" s="595" t="n"/>
      <c r="J98" s="595" t="n"/>
      <c r="K98" s="595" t="n"/>
      <c r="L98" s="1148" t="n"/>
      <c r="M98" s="1148" t="n"/>
      <c r="N98" s="1148" t="n"/>
      <c r="O98" s="1148" t="n"/>
      <c r="P98" s="1148" t="n"/>
      <c r="Q98" s="1148" t="n"/>
      <c r="R98" s="595" t="n"/>
      <c r="S98" s="595" t="n"/>
      <c r="T98" s="595" t="n"/>
      <c r="U98" s="595" t="n"/>
      <c r="V98" s="595" t="n"/>
      <c r="W98" s="1148" t="n"/>
    </row>
    <row r="99">
      <c r="A99" s="595" t="n"/>
      <c r="B99" s="595" t="n"/>
      <c r="C99" s="595" t="n"/>
      <c r="D99" s="595" t="n"/>
      <c r="E99" s="595" t="n"/>
      <c r="F99" s="595" t="n"/>
      <c r="G99" s="595" t="n"/>
      <c r="H99" s="595" t="n"/>
      <c r="I99" s="595" t="n"/>
      <c r="J99" s="595" t="n"/>
      <c r="K99" s="595" t="n"/>
      <c r="L99" s="1148" t="n"/>
      <c r="M99" s="1148" t="n"/>
      <c r="N99" s="1148" t="n"/>
      <c r="O99" s="1148" t="n"/>
      <c r="P99" s="1148" t="n"/>
      <c r="Q99" s="1148" t="n"/>
      <c r="R99" s="732" t="n"/>
      <c r="S99" s="732" t="n"/>
      <c r="T99" s="732" t="n"/>
      <c r="U99" s="732" t="n"/>
      <c r="V99" s="732" t="n"/>
      <c r="W99" s="1148" t="n"/>
    </row>
    <row r="100">
      <c r="A100" s="595" t="n"/>
      <c r="B100" s="595" t="n"/>
      <c r="C100" s="595" t="n"/>
      <c r="D100" s="595" t="n"/>
      <c r="E100" s="595" t="n"/>
      <c r="F100" s="595" t="n"/>
      <c r="G100" s="595" t="n"/>
      <c r="H100" s="595" t="n"/>
      <c r="I100" s="595" t="n"/>
      <c r="J100" s="595" t="n"/>
      <c r="K100" s="595" t="n"/>
      <c r="L100" s="1148" t="n"/>
      <c r="M100" s="1148" t="n"/>
      <c r="N100" s="1148" t="n"/>
      <c r="O100" s="1148" t="n"/>
      <c r="P100" s="1148" t="n"/>
      <c r="Q100" s="1148" t="n"/>
      <c r="R100" s="732" t="n"/>
      <c r="S100" s="732" t="n"/>
      <c r="T100" s="732" t="n"/>
      <c r="U100" s="732" t="n"/>
      <c r="V100" s="732" t="n"/>
      <c r="W100" s="1148" t="n"/>
    </row>
    <row r="101">
      <c r="A101" s="595" t="n"/>
      <c r="B101" s="595" t="n"/>
      <c r="C101" s="595" t="n"/>
      <c r="D101" s="595" t="n"/>
      <c r="E101" s="595" t="n"/>
      <c r="F101" s="595" t="n"/>
      <c r="G101" s="595" t="n"/>
      <c r="H101" s="595" t="n"/>
      <c r="I101" s="595" t="n"/>
      <c r="J101" s="595" t="n"/>
      <c r="K101" s="595" t="n"/>
      <c r="L101" s="1148" t="n"/>
      <c r="M101" s="1148" t="n"/>
      <c r="N101" s="1148" t="n"/>
      <c r="O101" s="1148" t="n"/>
      <c r="P101" s="1148" t="n"/>
      <c r="Q101" s="1148" t="n"/>
      <c r="R101" s="1148" t="n"/>
      <c r="S101" s="1148" t="n"/>
      <c r="T101" s="1148" t="n"/>
      <c r="U101" s="1148" t="n"/>
      <c r="V101" s="1148" t="n"/>
      <c r="W101" s="1148" t="n"/>
    </row>
    <row r="102">
      <c r="A102" s="595" t="n"/>
      <c r="B102" s="595" t="n"/>
      <c r="C102" s="595" t="n"/>
      <c r="D102" s="595" t="n"/>
      <c r="E102" s="595" t="n"/>
      <c r="F102" s="595" t="n"/>
      <c r="G102" s="595" t="n"/>
      <c r="H102" s="595" t="n"/>
      <c r="I102" s="595" t="n"/>
      <c r="J102" s="595" t="n"/>
      <c r="K102" s="595" t="n"/>
      <c r="L102" s="1148" t="n"/>
      <c r="M102" s="1148" t="n"/>
      <c r="N102" s="1148" t="n"/>
      <c r="O102" s="1148" t="n"/>
      <c r="P102" s="1148" t="n"/>
      <c r="Q102" s="1148" t="n"/>
      <c r="R102" s="732" t="n"/>
      <c r="S102" s="732" t="n"/>
      <c r="T102" s="732" t="n"/>
      <c r="U102" s="732" t="n"/>
      <c r="V102" s="732" t="n"/>
      <c r="W102" s="1148" t="n"/>
    </row>
    <row r="103">
      <c r="A103" s="595" t="n"/>
      <c r="B103" s="595" t="n"/>
      <c r="C103" s="595" t="n"/>
      <c r="D103" s="595" t="n"/>
      <c r="E103" s="595" t="n"/>
      <c r="F103" s="595" t="n"/>
      <c r="G103" s="595" t="n"/>
      <c r="H103" s="595" t="n"/>
      <c r="I103" s="595" t="n"/>
      <c r="J103" s="595" t="n"/>
      <c r="K103" s="595" t="n"/>
      <c r="L103" s="1148" t="n"/>
      <c r="M103" s="1148" t="n"/>
      <c r="N103" s="1148" t="n"/>
      <c r="O103" s="1148" t="n"/>
      <c r="P103" s="1148" t="n"/>
      <c r="Q103" s="1148" t="n"/>
      <c r="R103" s="1148" t="n"/>
      <c r="S103" s="734" t="n"/>
      <c r="T103" s="1148" t="n"/>
      <c r="U103" s="1148" t="n"/>
      <c r="V103" s="1148" t="n"/>
      <c r="W103" s="1148" t="n"/>
    </row>
    <row r="104">
      <c r="A104" s="595" t="n"/>
      <c r="B104" s="595" t="n"/>
      <c r="C104" s="595" t="n"/>
      <c r="D104" s="595" t="n"/>
      <c r="E104" s="595" t="n"/>
      <c r="F104" s="1148" t="n"/>
      <c r="G104" s="1148" t="n"/>
      <c r="H104" s="1148" t="n"/>
      <c r="I104" s="1148" t="n"/>
      <c r="J104" s="1148" t="n"/>
      <c r="K104" s="1148" t="n"/>
      <c r="L104" s="1148" t="n"/>
      <c r="M104" s="1148" t="n"/>
      <c r="N104" s="1148" t="n"/>
      <c r="O104" s="1148" t="n"/>
      <c r="P104" s="1148" t="n"/>
      <c r="Q104" s="1148" t="n"/>
      <c r="R104" s="1148" t="n"/>
      <c r="S104" s="1148" t="n"/>
      <c r="T104" s="1148" t="n"/>
      <c r="U104" s="1148" t="n"/>
      <c r="V104" s="1148" t="n"/>
      <c r="W104" s="1148" t="n"/>
    </row>
    <row r="105" ht="17" customHeight="1" s="799">
      <c r="A105" s="1148" t="n"/>
      <c r="B105" s="1148" t="n"/>
      <c r="C105" s="1148" t="n"/>
      <c r="D105" s="1148" t="n"/>
      <c r="E105" s="1148" t="n"/>
      <c r="F105" s="1148" t="n"/>
      <c r="G105" s="1148" t="n"/>
      <c r="H105" s="1148" t="n"/>
      <c r="I105" s="1148" t="n"/>
      <c r="J105" s="1148" t="n"/>
      <c r="K105" s="1148" t="n"/>
      <c r="L105" s="1148" t="n"/>
      <c r="M105" s="1148" t="n"/>
      <c r="N105" s="1148" t="n"/>
      <c r="O105" s="1148" t="n"/>
      <c r="P105" s="1148" t="n"/>
      <c r="Q105" s="1148" t="n"/>
      <c r="R105" s="1148" t="n"/>
      <c r="S105" s="1148" t="n"/>
      <c r="T105" s="732" t="n"/>
      <c r="U105" s="1148" t="n"/>
      <c r="V105" s="1148" t="n"/>
      <c r="W105" s="1148" t="n"/>
    </row>
    <row r="106">
      <c r="A106" s="1148" t="n"/>
      <c r="B106" s="1148" t="n"/>
      <c r="C106" s="1148" t="n"/>
      <c r="D106" s="1148" t="n"/>
      <c r="E106" s="1148" t="n"/>
      <c r="F106" s="1148" t="n"/>
      <c r="G106" s="1148" t="n"/>
      <c r="H106" s="1148" t="n"/>
      <c r="I106" s="1148" t="n"/>
      <c r="J106" s="1148" t="n"/>
      <c r="K106" s="1148" t="n"/>
      <c r="L106" s="1148" t="n"/>
      <c r="M106" s="1148" t="n"/>
      <c r="N106" s="1148" t="n"/>
      <c r="O106" s="1148" t="n"/>
      <c r="P106" s="1148" t="n"/>
      <c r="Q106" s="1148" t="n"/>
      <c r="R106" s="1148" t="n"/>
      <c r="S106" s="1148" t="n"/>
      <c r="T106" s="1148" t="n"/>
      <c r="U106" s="1148" t="n"/>
      <c r="V106" s="1148" t="n"/>
      <c r="W106" s="1148" t="n"/>
    </row>
    <row r="107">
      <c r="A107" s="1148" t="n"/>
      <c r="B107" s="1148" t="n"/>
      <c r="C107" s="1148" t="n"/>
      <c r="D107" s="1148" t="n"/>
      <c r="E107" s="1148" t="n"/>
      <c r="F107" s="1148" t="n"/>
      <c r="G107" s="1148" t="n"/>
      <c r="H107" s="1148" t="n"/>
      <c r="I107" s="1148" t="n"/>
      <c r="J107" s="1148" t="n"/>
      <c r="K107" s="1148" t="n"/>
      <c r="L107" s="595" t="n"/>
      <c r="M107" s="595" t="n"/>
      <c r="N107" s="595" t="n"/>
      <c r="O107" s="595" t="n"/>
      <c r="P107" s="595" t="n"/>
      <c r="Q107" s="595" t="n"/>
      <c r="R107" s="1148" t="n"/>
      <c r="S107" s="1148" t="n"/>
      <c r="T107" s="1148" t="n"/>
      <c r="U107" s="1148" t="n"/>
      <c r="V107" s="1148" t="n"/>
      <c r="W107" s="1148" t="n"/>
    </row>
  </sheetData>
  <mergeCells count="17">
    <mergeCell ref="F55:K55"/>
    <mergeCell ref="N55:R55"/>
    <mergeCell ref="H56:I56"/>
    <mergeCell ref="Q56:R56"/>
    <mergeCell ref="F63:K63"/>
    <mergeCell ref="N78:R78"/>
    <mergeCell ref="H2:O2"/>
    <mergeCell ref="N91:O91"/>
    <mergeCell ref="J5:N5"/>
    <mergeCell ref="N63:R63"/>
    <mergeCell ref="F71:K71"/>
    <mergeCell ref="N71:R71"/>
    <mergeCell ref="H64:K64"/>
    <mergeCell ref="O56:P56"/>
    <mergeCell ref="H4:O4"/>
    <mergeCell ref="F5:I5"/>
    <mergeCell ref="J56:K56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Leitner Thomas</dc:creator>
  <dcterms:created xmlns:dcterms="http://purl.org/dc/terms/" xmlns:xsi="http://www.w3.org/2001/XMLSchema-instance" xsi:type="dcterms:W3CDTF">2021-11-26T11:54:00Z</dcterms:created>
  <dcterms:modified xmlns:dcterms="http://purl.org/dc/terms/" xmlns:xsi="http://www.w3.org/2001/XMLSchema-instance" xsi:type="dcterms:W3CDTF">2026-05-05T05:50:06Z</dcterms:modified>
  <cp:lastModifiedBy>Dimitry Vallen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0x010100C4C3D3D78BAD6245B980BC3D41F670F1</vt:lpwstr>
  </property>
</Properties>
</file>